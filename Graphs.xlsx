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https://gla-my.sharepoint.com/personal/iflaah_salman_glasgow_ac_uk/Documents/Documents/Research/AI-Wellbeing/Results/ActualRun/"/>
    </mc:Choice>
  </mc:AlternateContent>
  <xr:revisionPtr revIDLastSave="77" documentId="8_{13406BF5-E75B-1A4C-8205-B95C530C06B0}" xr6:coauthVersionLast="47" xr6:coauthVersionMax="47" xr10:uidLastSave="{27DDB387-8B68-9C4D-AF41-0BB629F38173}"/>
  <bookViews>
    <workbookView xWindow="0" yWindow="660" windowWidth="30240" windowHeight="17180" xr2:uid="{00000000-000D-0000-FFFF-FFFF00000000}"/>
  </bookViews>
  <sheets>
    <sheet name="Charts" sheetId="2" r:id="rId1"/>
    <sheet name="SE-Areas" sheetId="3" r:id="rId2"/>
  </sheets>
  <definedNames>
    <definedName name="_xlnm._FilterDatabase" localSheetId="1" hidden="1">'SE-Areas'!#REF!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8" i="2" l="1"/>
  <c r="E226" i="2"/>
  <c r="E200" i="2"/>
  <c r="E198" i="2"/>
  <c r="F199" i="2"/>
  <c r="C199" i="2" s="1"/>
  <c r="C118" i="2"/>
  <c r="C117" i="2"/>
  <c r="C116" i="2"/>
  <c r="C115" i="2"/>
  <c r="C114" i="2"/>
  <c r="C113" i="2"/>
  <c r="C112" i="2"/>
  <c r="C111" i="2"/>
  <c r="C110" i="2"/>
  <c r="C109" i="2"/>
  <c r="C108" i="2"/>
  <c r="C107" i="2"/>
  <c r="C106" i="2"/>
  <c r="C105" i="2"/>
  <c r="C104" i="2"/>
  <c r="C103" i="2"/>
  <c r="C102" i="2"/>
  <c r="C101" i="2"/>
  <c r="C100" i="2"/>
  <c r="F372" i="2" l="1"/>
  <c r="D373" i="2"/>
  <c r="C362" i="2"/>
  <c r="C325" i="2"/>
  <c r="G325" i="2"/>
  <c r="F325" i="2"/>
  <c r="E325" i="2"/>
  <c r="E328" i="2" s="1"/>
  <c r="D325" i="2"/>
  <c r="D276" i="2"/>
  <c r="D275" i="2"/>
  <c r="D274" i="2"/>
  <c r="D273" i="2"/>
  <c r="D272" i="2"/>
  <c r="D271" i="2"/>
  <c r="D270" i="2"/>
  <c r="C276" i="2"/>
  <c r="C275" i="2"/>
  <c r="C274" i="2"/>
  <c r="C273" i="2"/>
  <c r="C272" i="2"/>
  <c r="C271" i="2"/>
  <c r="C270" i="2"/>
  <c r="G276" i="2"/>
  <c r="G275" i="2"/>
  <c r="G274" i="2"/>
  <c r="G273" i="2"/>
  <c r="G272" i="2"/>
  <c r="G271" i="2"/>
  <c r="G270" i="2"/>
  <c r="F276" i="2"/>
  <c r="F275" i="2"/>
  <c r="F274" i="2"/>
  <c r="F273" i="2"/>
  <c r="F272" i="2"/>
  <c r="F271" i="2"/>
  <c r="F270" i="2"/>
  <c r="E276" i="2"/>
  <c r="E293" i="2" s="1"/>
  <c r="E275" i="2"/>
  <c r="E291" i="2" s="1"/>
  <c r="E274" i="2"/>
  <c r="E289" i="2" s="1"/>
  <c r="E273" i="2"/>
  <c r="E287" i="2" s="1"/>
  <c r="E272" i="2"/>
  <c r="E285" i="2" s="1"/>
  <c r="E271" i="2"/>
  <c r="E283" i="2" s="1"/>
  <c r="E270" i="2"/>
  <c r="E281" i="2" s="1"/>
  <c r="H266" i="2"/>
  <c r="H265" i="2"/>
  <c r="H264" i="2"/>
  <c r="H263" i="2"/>
  <c r="H262" i="2"/>
  <c r="H261" i="2"/>
  <c r="H260" i="2"/>
  <c r="C67" i="2"/>
  <c r="C66" i="2"/>
  <c r="C65" i="2"/>
  <c r="C64" i="2"/>
  <c r="C63" i="2"/>
  <c r="D69" i="2"/>
  <c r="D236" i="2"/>
  <c r="F236" i="2" s="1"/>
  <c r="C236" i="2" s="1"/>
  <c r="D237" i="2"/>
  <c r="F237" i="2" s="1"/>
  <c r="C237" i="2" s="1"/>
  <c r="D235" i="2"/>
  <c r="F235" i="2" s="1"/>
  <c r="C235" i="2" s="1"/>
  <c r="D234" i="2"/>
  <c r="F234" i="2" s="1"/>
  <c r="C234" i="2" s="1"/>
  <c r="D233" i="2"/>
  <c r="F233" i="2" s="1"/>
  <c r="C233" i="2" s="1"/>
  <c r="D232" i="2"/>
  <c r="F232" i="2" s="1"/>
  <c r="C232" i="2" s="1"/>
  <c r="D231" i="2"/>
  <c r="F231" i="2" s="1"/>
  <c r="C231" i="2" s="1"/>
  <c r="D230" i="2"/>
  <c r="F230" i="2" s="1"/>
  <c r="C230" i="2" s="1"/>
  <c r="D229" i="2"/>
  <c r="F229" i="2" s="1"/>
  <c r="C229" i="2" s="1"/>
  <c r="D228" i="2"/>
  <c r="F228" i="2" s="1"/>
  <c r="C228" i="2" s="1"/>
  <c r="D227" i="2"/>
  <c r="F227" i="2" s="1"/>
  <c r="C227" i="2" s="1"/>
  <c r="D226" i="2"/>
  <c r="F226" i="2" s="1"/>
  <c r="C226" i="2" s="1"/>
  <c r="D225" i="2"/>
  <c r="F225" i="2" s="1"/>
  <c r="C225" i="2" s="1"/>
  <c r="D195" i="2"/>
  <c r="F195" i="2" s="1"/>
  <c r="C195" i="2" s="1"/>
  <c r="D203" i="2"/>
  <c r="F203" i="2" s="1"/>
  <c r="C203" i="2" s="1"/>
  <c r="D202" i="2"/>
  <c r="F202" i="2" s="1"/>
  <c r="C202" i="2" s="1"/>
  <c r="D201" i="2"/>
  <c r="F201" i="2" s="1"/>
  <c r="C201" i="2" s="1"/>
  <c r="D200" i="2"/>
  <c r="F200" i="2" s="1"/>
  <c r="C200" i="2" s="1"/>
  <c r="D197" i="2"/>
  <c r="F197" i="2" s="1"/>
  <c r="C197" i="2" s="1"/>
  <c r="D196" i="2"/>
  <c r="F196" i="2" s="1"/>
  <c r="C196" i="2" s="1"/>
  <c r="D198" i="2"/>
  <c r="F198" i="2" s="1"/>
  <c r="C198" i="2" s="1"/>
  <c r="C175" i="2"/>
  <c r="C174" i="2"/>
  <c r="C173" i="2"/>
  <c r="C172" i="2"/>
  <c r="C171" i="2"/>
  <c r="C161" i="2"/>
  <c r="C160" i="2"/>
  <c r="C147" i="2"/>
  <c r="C146" i="2"/>
  <c r="C145" i="2"/>
  <c r="C129" i="2"/>
  <c r="C128" i="2"/>
  <c r="C127" i="2"/>
  <c r="D176" i="2"/>
  <c r="D162" i="2"/>
  <c r="D148" i="2"/>
  <c r="D130" i="2"/>
  <c r="D13" i="2"/>
  <c r="D40" i="2"/>
  <c r="C39" i="2"/>
  <c r="C38" i="2"/>
  <c r="C37" i="2"/>
  <c r="C36" i="2"/>
  <c r="C35" i="2"/>
  <c r="C12" i="2"/>
  <c r="C11" i="2"/>
  <c r="C10" i="2"/>
  <c r="C9" i="2"/>
  <c r="C8" i="2"/>
  <c r="C7" i="2"/>
  <c r="C68" i="2" s="1"/>
</calcChain>
</file>

<file path=xl/sharedStrings.xml><?xml version="1.0" encoding="utf-8"?>
<sst xmlns="http://schemas.openxmlformats.org/spreadsheetml/2006/main" count="420" uniqueCount="227">
  <si>
    <t>Q1</t>
  </si>
  <si>
    <t>Q2</t>
  </si>
  <si>
    <t>Q3</t>
  </si>
  <si>
    <t>Q4</t>
  </si>
  <si>
    <t>Yes</t>
  </si>
  <si>
    <t>Tenure-track faculty (any level)</t>
  </si>
  <si>
    <t>Male</t>
  </si>
  <si>
    <t>Italy</t>
  </si>
  <si>
    <t>High (daily or near-daily use)</t>
  </si>
  <si>
    <t>Proficient  (e.g., I understand the inner workings of GenAI)</t>
  </si>
  <si>
    <t>Somewhat agree</t>
  </si>
  <si>
    <t>Strongly agree</t>
  </si>
  <si>
    <t>Neutral</t>
  </si>
  <si>
    <t>Somewhat disagree</t>
  </si>
  <si>
    <t>Strongly disagree</t>
  </si>
  <si>
    <t>Postdoctoral researcher</t>
  </si>
  <si>
    <t>Female</t>
  </si>
  <si>
    <t>United Kingdom of Great Britain and Northern Ireland</t>
  </si>
  <si>
    <t>Moderate (regular use)</t>
  </si>
  <si>
    <t>I don’t use it for teaching</t>
  </si>
  <si>
    <t>PhD student/candidate</t>
  </si>
  <si>
    <t>Canada</t>
  </si>
  <si>
    <t>Mid user (e.g., I can perform basic prompt engineering and/or can also tweak the model's parameters)</t>
  </si>
  <si>
    <t>Japan</t>
  </si>
  <si>
    <t>Tenured faculty (any level)</t>
  </si>
  <si>
    <t>No</t>
  </si>
  <si>
    <t>Low (occasional use)</t>
  </si>
  <si>
    <t>Teaching-focused academic (any level)</t>
  </si>
  <si>
    <t>Spain</t>
  </si>
  <si>
    <t>Research staff</t>
  </si>
  <si>
    <t>France</t>
  </si>
  <si>
    <t>Novice (e.g., use it as a search engine)</t>
  </si>
  <si>
    <t>United States of America</t>
  </si>
  <si>
    <t>Finland</t>
  </si>
  <si>
    <t>Germany</t>
  </si>
  <si>
    <t>United Arab Emirates</t>
  </si>
  <si>
    <t>Other (please specify):</t>
  </si>
  <si>
    <t>Cyprus</t>
  </si>
  <si>
    <t>Drafting/reviewing communication/Correspondence</t>
  </si>
  <si>
    <t>I don’t use it for research</t>
  </si>
  <si>
    <t>Language checking (including drafting/reviewing communication/correspondence)</t>
  </si>
  <si>
    <t>Data analysis</t>
  </si>
  <si>
    <t>Colombia</t>
  </si>
  <si>
    <t>Find relevant literature</t>
  </si>
  <si>
    <t>Switzerland</t>
  </si>
  <si>
    <t>Pakistan</t>
  </si>
  <si>
    <t>Research Group Leader</t>
  </si>
  <si>
    <t>Brazil</t>
  </si>
  <si>
    <t>Netherlands</t>
  </si>
  <si>
    <t>New Zealand</t>
  </si>
  <si>
    <t>Iceland</t>
  </si>
  <si>
    <t>Australia</t>
  </si>
  <si>
    <t>China</t>
  </si>
  <si>
    <t>Belgium</t>
  </si>
  <si>
    <t>Software Testing</t>
  </si>
  <si>
    <t>Poland</t>
  </si>
  <si>
    <t>Sweden</t>
  </si>
  <si>
    <t>Denmark</t>
  </si>
  <si>
    <t>Ireland</t>
  </si>
  <si>
    <t>Empirical Software Engineering</t>
  </si>
  <si>
    <t>Prefer not to say</t>
  </si>
  <si>
    <t>Software Quality</t>
  </si>
  <si>
    <t>Uruguay</t>
  </si>
  <si>
    <t>Preparing material for lectures</t>
  </si>
  <si>
    <t>Software Security</t>
  </si>
  <si>
    <t>Preparing material for assessments</t>
  </si>
  <si>
    <t>Head of department in a non-university publicly funded research institute</t>
  </si>
  <si>
    <t>Bangladesh</t>
  </si>
  <si>
    <t>Indonesia</t>
  </si>
  <si>
    <t>Hong Kong (S.A.R.)</t>
  </si>
  <si>
    <t>Greece</t>
  </si>
  <si>
    <t>Software Maintenance</t>
  </si>
  <si>
    <t>Norway</t>
  </si>
  <si>
    <t>MSc</t>
  </si>
  <si>
    <t>Costa Rica</t>
  </si>
  <si>
    <t>Austria</t>
  </si>
  <si>
    <t>Roles</t>
  </si>
  <si>
    <t>Percentage</t>
  </si>
  <si>
    <t>AbsoluteCount</t>
  </si>
  <si>
    <t>Valid Responses</t>
  </si>
  <si>
    <t>x-axis</t>
  </si>
  <si>
    <t>y-axis</t>
  </si>
  <si>
    <t>Gender</t>
  </si>
  <si>
    <t>Non-binary</t>
  </si>
  <si>
    <t>Prefer to self-describe</t>
  </si>
  <si>
    <t>Country</t>
  </si>
  <si>
    <t>Count</t>
  </si>
  <si>
    <t>Continent</t>
  </si>
  <si>
    <t>Europe</t>
  </si>
  <si>
    <t>North America</t>
  </si>
  <si>
    <t>Asia</t>
  </si>
  <si>
    <t>South America</t>
  </si>
  <si>
    <t>Oceania</t>
  </si>
  <si>
    <t>Africa</t>
  </si>
  <si>
    <t>Total</t>
  </si>
  <si>
    <t>total</t>
  </si>
  <si>
    <t>Frequency</t>
  </si>
  <si>
    <t>% (of 127)</t>
  </si>
  <si>
    <t>Answer</t>
  </si>
  <si>
    <t>one person didn't answer it.</t>
  </si>
  <si>
    <t>Other Roles</t>
  </si>
  <si>
    <t>Usage Level</t>
  </si>
  <si>
    <t>Understanding Level</t>
  </si>
  <si>
    <t>Use</t>
  </si>
  <si>
    <t>Structuring the lectures</t>
  </si>
  <si>
    <t>Evaluating students' assessments</t>
  </si>
  <si>
    <t>Drafting/reviewing documentation</t>
  </si>
  <si>
    <t>Generating ideas for assessments</t>
  </si>
  <si>
    <t>Self-preparation for the lecture</t>
  </si>
  <si>
    <t>Other</t>
  </si>
  <si>
    <t>Quick recollection of concepts</t>
  </si>
  <si>
    <t>Idea generation</t>
  </si>
  <si>
    <t>Graphic generation</t>
  </si>
  <si>
    <t>Structuring my research artefacts</t>
  </si>
  <si>
    <t>Drafting my grants/proposals</t>
  </si>
  <si>
    <t>Drafting my articles</t>
  </si>
  <si>
    <t>Critically reviewing my grants/proposals</t>
  </si>
  <si>
    <t>Critically reviewing my articles</t>
  </si>
  <si>
    <t>Peer reviewing articles</t>
  </si>
  <si>
    <t>everyone answered this question</t>
  </si>
  <si>
    <t>a. has improved my productivity in academic work</t>
  </si>
  <si>
    <t>c. increases my competitiveness in my academic career</t>
  </si>
  <si>
    <t>e. will intensify performance expectations from institutions, funders, or peers</t>
  </si>
  <si>
    <t>b. has enhanced the quality of my research and/or teaching outputs</t>
  </si>
  <si>
    <t>d. will reduce the value of my academic expertise</t>
  </si>
  <si>
    <t>f. allows me to save time and reduces cognitive load for focusing on creative and intellectually meaningful tasks</t>
  </si>
  <si>
    <t>g. use makes me more dependent on tools (e.g., LLM) to perform academic work</t>
  </si>
  <si>
    <t>has improved my productivity in academic work</t>
  </si>
  <si>
    <t>has enhanced the quality of my research and/or teaching outputs</t>
  </si>
  <si>
    <t>increases my competitiveness in my academic career</t>
  </si>
  <si>
    <t>will reduce the value of my academic expertise</t>
  </si>
  <si>
    <t>will intensify performance expectations from institutions, funders, or peers</t>
  </si>
  <si>
    <t>allows me to save time and reduces cognitive load for focusing on creative and intellectually meaningful tasks</t>
  </si>
  <si>
    <t>use makes me more dependent on tools (e.g., LLM) to perform academic work</t>
  </si>
  <si>
    <t>increases my competitiveness in my academic career (e.g., grants, publications, teaching quality, visibility).</t>
  </si>
  <si>
    <t>will intensify performance expectations from institutions, funders, or peers (e.g., publish more and/or faster, design new courses faster).</t>
  </si>
  <si>
    <t>I have calculated the percentage out of 127!</t>
  </si>
  <si>
    <t>this doesn't add to 100 because individual are calculated out of 127</t>
  </si>
  <si>
    <t>a</t>
  </si>
  <si>
    <t>b</t>
  </si>
  <si>
    <t>c</t>
  </si>
  <si>
    <t>d</t>
  </si>
  <si>
    <t>e</t>
  </si>
  <si>
    <t>f</t>
  </si>
  <si>
    <t>g</t>
  </si>
  <si>
    <t>h</t>
  </si>
  <si>
    <t>i</t>
  </si>
  <si>
    <t>j</t>
  </si>
  <si>
    <t>reduces my sense of professional self-value.</t>
  </si>
  <si>
    <t>helps reduce my work-related stress.</t>
  </si>
  <si>
    <t>contributes to work intensification or feelings associated with burnout.</t>
  </si>
  <si>
    <t>makes me anxious to keep up with its developments.</t>
  </si>
  <si>
    <t>contributes to my social isolation.</t>
  </si>
  <si>
    <t>reduces constructive human interaction in my academic work.</t>
  </si>
  <si>
    <t>is contributing to my trust issues towards my collaborators, regarding their ethical use of GenAI.</t>
  </si>
  <si>
    <t>lowers my emotional reward by reducing my healthy cognitive challenges.</t>
  </si>
  <si>
    <t>causes inequalities among academics (e.g., skills).</t>
  </si>
  <si>
    <t>increases competition rather than collaboration in academia.</t>
  </si>
  <si>
    <t>I feel comfortable discussing GenAI use openly with colleagues.</t>
  </si>
  <si>
    <t>I feel pressure to use GenAI even when I am uncomfortable doing so.</t>
  </si>
  <si>
    <t>a. reduces my sense of professional self-value.</t>
  </si>
  <si>
    <t>b.helps reduce my work-related stress.</t>
  </si>
  <si>
    <t>c. contributes to work intensification or feelings associated with burnout.</t>
  </si>
  <si>
    <t>d. makes me anxious to keep up with its developments.</t>
  </si>
  <si>
    <t>e. contributes to my social isolation.</t>
  </si>
  <si>
    <t>f. reduces constructive human interaction in my academic work.</t>
  </si>
  <si>
    <t>g. is contributing to my trust issues towards my collaborators, regarding their ethical use of GenAI.</t>
  </si>
  <si>
    <t>h.lowers my emotional reward by reducing my healthy cognitive challenges.</t>
  </si>
  <si>
    <t>i. causes inequalities among academics (e.g., skills).</t>
  </si>
  <si>
    <t>j. increases competition rather than collaboration in academia.</t>
  </si>
  <si>
    <t>k. I feel comfortable discussing GenAI use openly with colleagues.</t>
  </si>
  <si>
    <t>l. I feel pressure to use GenAI even when I am uncomfortable doing so.</t>
  </si>
  <si>
    <t>SWEBOK v4.0 Knowledge Area</t>
  </si>
  <si>
    <t>Topics (frequency)</t>
  </si>
  <si>
    <t>Software Performance Engineering (1), Software Performance and Energy Efficiency (1)</t>
  </si>
  <si>
    <t>Empirical Software Engineering (13), Empirical Study (1)</t>
  </si>
  <si>
    <t>Education (2), Software Engineering Education (1)</t>
  </si>
  <si>
    <t>SE Education</t>
  </si>
  <si>
    <t>Mining Software Repositories (5), Repository Mining (1), Specification Mining (1)</t>
  </si>
  <si>
    <t>Mining Repositories</t>
  </si>
  <si>
    <t>Software Construction</t>
  </si>
  <si>
    <t>Software Architecture (6), Adaptive Systems (1), Software Architecture (1)</t>
  </si>
  <si>
    <t>Agile &amp; Team Management (1), Consulting (1), Software Engineering Management (1)</t>
  </si>
  <si>
    <t>Programming Languages (1), Code Review (2), Refactoring (2), Software Language Engineering (1), Code Search (1), Software Reuse (1), Backend (1), Software Construction (1)</t>
  </si>
  <si>
    <t>Research Methods (1), Research Methodology (1), Engineering Foundations (1)</t>
  </si>
  <si>
    <t>Requirements Engineering (8), Software Requirements (1), Requirements Specification (1), Software Requirements (3)</t>
  </si>
  <si>
    <t>Software Testing (8), Usability Testing (1), GUI Testing (1), Fairness Testing (1), Fuzz Testing (1), Automated Testing (1), Model-Based Testing (1), Software Testing and Quality (1), Software Analysis and Testing (1), Software Testing (2)</t>
  </si>
  <si>
    <t>Software Process (3), Agile Software Development (2), Software Development Processes (1), Infrastructure (1), IT Processes Improvement (1), CI/CD (2), Software Engineering Process (4)</t>
  </si>
  <si>
    <t>Software Security (5), Security (1), Cybersecurity (2), Cyber (1), Privacy by Design (1), Secure Software Engineering (1), Secure Software Development (1), Security Analytics (1), Software Supply Chain Security (1), IT Governance (1), Software Security (2)</t>
  </si>
  <si>
    <t>Software Design (2), Model-Driven Engineering (2), Code Generation (1), Code Generation Tools/Models (1), IT Strategies (1), Software Design (4), Software Ecosystems (2)</t>
  </si>
  <si>
    <t>Software Quality (4), Quality Assurance (2), QA (1), Software Metrics (1), Software Testing and Quality (1), Software Analysis (1), Software Analysis and Testing (1), Software Quality (4), Software Analytics (1)</t>
  </si>
  <si>
    <t>Regulatory Compliance (1), IT Audit (1), IT Compliance (1)</t>
  </si>
  <si>
    <t>Information Systems (1), Data Science (1), Data Analysis (1)</t>
  </si>
  <si>
    <t>SE Area</t>
  </si>
  <si>
    <t>Software Requirements</t>
  </si>
  <si>
    <t>Software Architecture</t>
  </si>
  <si>
    <t>Software Design</t>
  </si>
  <si>
    <t>Software Configuration Management</t>
  </si>
  <si>
    <t>Software Engineering Management</t>
  </si>
  <si>
    <t>Software Engineering Process</t>
  </si>
  <si>
    <t>Software Engineering Models and Methods</t>
  </si>
  <si>
    <t>Software Engineering Professional Practice</t>
  </si>
  <si>
    <t>Software Engineering Economics</t>
  </si>
  <si>
    <t>Computing Foundations</t>
  </si>
  <si>
    <t>Mathematical Foundations</t>
  </si>
  <si>
    <t>Engineering Foundations</t>
  </si>
  <si>
    <t>Software Engineering Operations</t>
  </si>
  <si>
    <t>CountOf"OtherUses"</t>
  </si>
  <si>
    <t>Total Count</t>
  </si>
  <si>
    <t>k</t>
  </si>
  <si>
    <t>l</t>
  </si>
  <si>
    <t>m</t>
  </si>
  <si>
    <t>n</t>
  </si>
  <si>
    <t>Coding or Scripting</t>
  </si>
  <si>
    <t>Software Maintenance (7), Software Evolution (4), Software Modernization (2), Maintainability (1), Software Comprehension (1), Code Comprehension (1), Software Traceability (1), Bug Report Management (1), Code Rationale (1), Technical Debt (4), Software Maintenance (4),</t>
  </si>
  <si>
    <t>Formal Methods (4), Formal Verification (1), Software Engineering Models and Methods (2)</t>
  </si>
  <si>
    <t>Databases (1), AI (1), Machine Learning (1), Machine Learning-Based Systems (1), NLP (1), Software Debugging (1), Bug Detection (1), Human Factors (6), Human Aspects (3), Developer Experience (1), Responsible AI (2), AI Reliability (1), SE for AI (2), Open Source Software (1), Collaboration in Open Source Development (1), Developer-AI Interaction (1)</t>
  </si>
  <si>
    <t>SE Areas</t>
  </si>
  <si>
    <t>Q5: GenAI Usage Level</t>
  </si>
  <si>
    <t>Q6: GenAI Understanding Level</t>
  </si>
  <si>
    <t>Q7: Awareness of the Institutional Guidelines</t>
  </si>
  <si>
    <t>Q8: Adherance to the Institutional Guidelines for the GenAI Use</t>
  </si>
  <si>
    <t>Q9: GenAI Use in Teaching</t>
  </si>
  <si>
    <t>Q10: GenAI Use in Research</t>
  </si>
  <si>
    <t>Q11: In my academic career, GenAI</t>
  </si>
  <si>
    <t>Q12: Choosing not to use GenAI</t>
  </si>
  <si>
    <t>Q14 and Q15: In my academic career, GenAI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</si>
</sst>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indexed="8"/>
      <name val="Aptos Narrow"/>
      <family val="2"/>
      <scheme val="minor"/>
    </font>
    <font>
      <sz val="11"/>
      <color indexed="8"/>
      <name val="Aptos Narrow"/>
      <family val="2"/>
      <scheme val="minor"/>
    </font>
    <font>
      <b/>
      <sz val="11"/>
      <color indexed="8"/>
      <name val="Aptos Narrow"/>
      <scheme val="minor"/>
    </font>
    <font>
      <b/>
      <sz val="11"/>
      <color indexed="8"/>
      <name val="Aptos Narrow"/>
      <family val="2"/>
      <scheme val="minor"/>
    </font>
    <font>
      <sz val="11"/>
      <color indexed="8"/>
      <name val="Aptos Narrow"/>
      <scheme val="minor"/>
    </font>
    <font>
      <sz val="11"/>
      <color rgb="FF000000"/>
      <name val="Aptos Narrow"/>
      <family val="2"/>
      <scheme val="minor"/>
    </font>
    <font>
      <b/>
      <i/>
      <sz val="11"/>
      <color rgb="FF000000"/>
      <name val="Aptos Narrow"/>
      <scheme val="minor"/>
    </font>
    <font>
      <sz val="14"/>
      <color indexed="8"/>
      <name val="Segoe UI"/>
    </font>
    <font>
      <b/>
      <sz val="14"/>
      <color indexed="8"/>
      <name val="Segoe UI"/>
    </font>
    <font>
      <sz val="11"/>
      <name val="Aptos Narrow"/>
      <family val="2"/>
      <scheme val="minor"/>
    </font>
    <font>
      <b/>
      <sz val="11"/>
      <name val="Aptos Narrow"/>
      <family val="2"/>
      <scheme val="minor"/>
    </font>
    <font>
      <sz val="11"/>
      <color theme="8"/>
      <name val="Aptos Narrow (Body)"/>
    </font>
    <font>
      <sz val="11"/>
      <color theme="8"/>
      <name val="Aptos Narrow"/>
      <family val="2"/>
      <scheme val="minor"/>
    </font>
    <font>
      <sz val="11"/>
      <color indexed="8"/>
      <name val="Segoe UI"/>
    </font>
    <font>
      <b/>
      <sz val="11"/>
      <color indexed="8"/>
      <name val="Segoe UI"/>
    </font>
    <font>
      <b/>
      <sz val="11"/>
      <color rgb="FF000000"/>
      <name val="Aptos Narrow"/>
      <scheme val="minor"/>
    </font>
    <font>
      <sz val="11"/>
      <color theme="6"/>
      <name val="Aptos Narrow"/>
      <family val="2"/>
      <scheme val="minor"/>
    </font>
    <font>
      <sz val="11"/>
      <color rgb="FF000000"/>
      <name val="Aptos Narrow"/>
      <scheme val="minor"/>
    </font>
    <font>
      <sz val="11"/>
      <color indexed="8"/>
      <name val="Arial"/>
      <family val="2"/>
    </font>
    <font>
      <b/>
      <sz val="11"/>
      <color indexed="8"/>
      <name val="Arial"/>
      <family val="2"/>
    </font>
    <font>
      <strike/>
      <sz val="11"/>
      <color rgb="FFE97132"/>
      <name val="Segoe UI"/>
    </font>
    <font>
      <sz val="10"/>
      <color indexed="8"/>
      <name val="Arial"/>
      <family val="2"/>
    </font>
    <font>
      <b/>
      <sz val="11"/>
      <color indexed="8"/>
      <name val="Aptos Narrow"/>
    </font>
    <font>
      <sz val="11"/>
      <color indexed="8"/>
      <name val="Aptos Narrow"/>
    </font>
    <font>
      <sz val="11"/>
      <color theme="1"/>
      <name val="Arial"/>
      <family val="2"/>
    </font>
    <font>
      <i/>
      <sz val="11"/>
      <color theme="8"/>
      <name val="Aptos Narrow (Body)"/>
    </font>
    <font>
      <i/>
      <sz val="11"/>
      <color theme="8"/>
      <name val="Aptos Narrow"/>
      <scheme val="minor"/>
    </font>
    <font>
      <sz val="11"/>
      <color rgb="FF000000"/>
      <name val="Aptos Narrow (Body)"/>
    </font>
    <font>
      <sz val="11"/>
      <color rgb="FFC00000"/>
      <name val="Aptos Narrow"/>
      <family val="2"/>
      <scheme val="minor"/>
    </font>
    <font>
      <sz val="11"/>
      <color rgb="FFC00000"/>
      <name val="Aptos Narrow"/>
      <scheme val="minor"/>
    </font>
  </fonts>
  <fills count="7">
    <fill>
      <patternFill patternType="none"/>
    </fill>
    <fill>
      <patternFill patternType="gray125"/>
    </fill>
    <fill>
      <patternFill patternType="solid">
        <fgColor indexed="22"/>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57">
    <xf numFmtId="0" fontId="0" fillId="0" borderId="0" xfId="0"/>
    <xf numFmtId="49" fontId="0" fillId="0" borderId="0" xfId="0" applyNumberFormat="1" applyAlignment="1">
      <alignment wrapText="1"/>
    </xf>
    <xf numFmtId="0" fontId="0" fillId="2" borderId="0" xfId="0" applyFill="1"/>
    <xf numFmtId="0" fontId="2" fillId="0" borderId="0" xfId="0" applyFont="1"/>
    <xf numFmtId="9" fontId="0" fillId="0" borderId="0" xfId="1" applyFont="1"/>
    <xf numFmtId="0" fontId="2" fillId="4" borderId="0" xfId="0" applyFont="1" applyFill="1"/>
    <xf numFmtId="0" fontId="3" fillId="0" borderId="0" xfId="0" applyFont="1"/>
    <xf numFmtId="10" fontId="0" fillId="0" borderId="0" xfId="0" applyNumberFormat="1"/>
    <xf numFmtId="9" fontId="0" fillId="0" borderId="0" xfId="0" applyNumberFormat="1"/>
    <xf numFmtId="0" fontId="0" fillId="4" borderId="0" xfId="0" applyFill="1"/>
    <xf numFmtId="0" fontId="4" fillId="4" borderId="0" xfId="0" applyFont="1" applyFill="1"/>
    <xf numFmtId="49" fontId="2" fillId="0" borderId="0" xfId="0" applyNumberFormat="1" applyFont="1" applyAlignment="1">
      <alignment wrapText="1"/>
    </xf>
    <xf numFmtId="49" fontId="5" fillId="0" borderId="0" xfId="0" applyNumberFormat="1" applyFont="1" applyAlignment="1">
      <alignment wrapText="1"/>
    </xf>
    <xf numFmtId="49" fontId="6" fillId="0" borderId="0" xfId="0" applyNumberFormat="1" applyFont="1" applyAlignment="1">
      <alignment wrapText="1"/>
    </xf>
    <xf numFmtId="49" fontId="4" fillId="0" borderId="0" xfId="0" applyNumberFormat="1" applyFont="1" applyAlignment="1">
      <alignment wrapText="1"/>
    </xf>
    <xf numFmtId="0" fontId="0" fillId="0" borderId="0" xfId="0" applyAlignment="1">
      <alignment wrapText="1"/>
    </xf>
    <xf numFmtId="0" fontId="7" fillId="0" borderId="0" xfId="0" applyFont="1"/>
    <xf numFmtId="0" fontId="8" fillId="0" borderId="0" xfId="0" applyFont="1"/>
    <xf numFmtId="0" fontId="9" fillId="0" borderId="0" xfId="0" applyFont="1"/>
    <xf numFmtId="2" fontId="10" fillId="0" borderId="0" xfId="0" applyNumberFormat="1" applyFont="1"/>
    <xf numFmtId="10" fontId="9" fillId="0" borderId="0" xfId="0" applyNumberFormat="1" applyFont="1"/>
    <xf numFmtId="0" fontId="12" fillId="0" borderId="0" xfId="0" applyFont="1" applyAlignment="1">
      <alignment wrapText="1"/>
    </xf>
    <xf numFmtId="0" fontId="0" fillId="2" borderId="0" xfId="0" applyFill="1" applyAlignment="1">
      <alignment wrapText="1"/>
    </xf>
    <xf numFmtId="0" fontId="0" fillId="0" borderId="0" xfId="1" applyNumberFormat="1" applyFont="1"/>
    <xf numFmtId="49" fontId="0" fillId="0" borderId="0" xfId="0" applyNumberFormat="1"/>
    <xf numFmtId="0" fontId="0" fillId="0" borderId="0" xfId="0" applyAlignment="1">
      <alignment horizontal="center"/>
    </xf>
    <xf numFmtId="0" fontId="13" fillId="0" borderId="0" xfId="0" applyFont="1"/>
    <xf numFmtId="0" fontId="14" fillId="0" borderId="0" xfId="0" applyFont="1"/>
    <xf numFmtId="9" fontId="13" fillId="0" borderId="0" xfId="0" applyNumberFormat="1" applyFont="1"/>
    <xf numFmtId="0" fontId="14" fillId="0" borderId="0" xfId="0" applyFont="1" applyAlignment="1">
      <alignment wrapText="1"/>
    </xf>
    <xf numFmtId="0" fontId="13" fillId="0" borderId="0" xfId="0" applyFont="1" applyAlignment="1">
      <alignment wrapText="1"/>
    </xf>
    <xf numFmtId="0" fontId="2" fillId="0" borderId="0" xfId="0" applyFont="1" applyAlignment="1">
      <alignment wrapText="1"/>
    </xf>
    <xf numFmtId="49" fontId="17" fillId="0" borderId="0" xfId="0" applyNumberFormat="1" applyFont="1" applyAlignment="1">
      <alignment wrapText="1"/>
    </xf>
    <xf numFmtId="49" fontId="15" fillId="0" borderId="0" xfId="0" applyNumberFormat="1" applyFont="1" applyAlignment="1">
      <alignment wrapText="1"/>
    </xf>
    <xf numFmtId="0" fontId="18" fillId="0" borderId="0" xfId="0" applyFont="1"/>
    <xf numFmtId="0" fontId="19" fillId="0" borderId="0" xfId="0" applyFont="1"/>
    <xf numFmtId="0" fontId="22" fillId="0" borderId="0" xfId="0" applyFont="1"/>
    <xf numFmtId="0" fontId="23" fillId="0" borderId="0" xfId="0" applyFont="1"/>
    <xf numFmtId="0" fontId="18"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3" fillId="0" borderId="0" xfId="0" applyFont="1" applyAlignment="1">
      <alignment wrapText="1"/>
    </xf>
    <xf numFmtId="0" fontId="24" fillId="0" borderId="0" xfId="0" applyFont="1" applyAlignment="1">
      <alignment wrapText="1"/>
    </xf>
    <xf numFmtId="9" fontId="0" fillId="0" borderId="0" xfId="1" applyFont="1" applyAlignment="1">
      <alignment horizontal="center"/>
    </xf>
    <xf numFmtId="49" fontId="27" fillId="0" borderId="0" xfId="0" applyNumberFormat="1" applyFont="1" applyAlignment="1">
      <alignment wrapText="1"/>
    </xf>
    <xf numFmtId="49" fontId="25" fillId="0" borderId="0" xfId="0" applyNumberFormat="1" applyFont="1" applyAlignment="1">
      <alignment wrapText="1"/>
    </xf>
    <xf numFmtId="49" fontId="12" fillId="0" borderId="0" xfId="0" applyNumberFormat="1" applyFont="1" applyAlignment="1">
      <alignment wrapText="1"/>
    </xf>
    <xf numFmtId="49" fontId="26" fillId="0" borderId="0" xfId="0" applyNumberFormat="1" applyFont="1" applyAlignment="1">
      <alignment wrapText="1"/>
    </xf>
    <xf numFmtId="49" fontId="28" fillId="0" borderId="0" xfId="0" applyNumberFormat="1" applyFont="1" applyAlignment="1">
      <alignment wrapText="1"/>
    </xf>
    <xf numFmtId="49" fontId="11" fillId="0" borderId="0" xfId="0" applyNumberFormat="1" applyFont="1" applyAlignment="1">
      <alignment wrapText="1"/>
    </xf>
    <xf numFmtId="49" fontId="16" fillId="0" borderId="0" xfId="0" applyNumberFormat="1" applyFont="1" applyAlignment="1">
      <alignment wrapText="1"/>
    </xf>
    <xf numFmtId="49" fontId="29" fillId="0" borderId="0" xfId="0" applyNumberFormat="1" applyFont="1" applyAlignment="1">
      <alignment wrapText="1"/>
    </xf>
    <xf numFmtId="0" fontId="2" fillId="5" borderId="0" xfId="0" applyFont="1" applyFill="1" applyAlignment="1">
      <alignment horizontal="center"/>
    </xf>
    <xf numFmtId="0" fontId="2" fillId="3" borderId="0" xfId="0" applyFont="1" applyFill="1" applyAlignment="1">
      <alignment horizontal="center"/>
    </xf>
    <xf numFmtId="0" fontId="2" fillId="6" borderId="0" xfId="0" applyFont="1" applyFill="1" applyAlignment="1">
      <alignment horizontal="center"/>
    </xf>
    <xf numFmtId="0" fontId="24" fillId="0" borderId="0" xfId="0" applyFont="1" applyAlignment="1">
      <alignment horizontal="left" wrapText="1"/>
    </xf>
    <xf numFmtId="0" fontId="2" fillId="0" borderId="0" xfId="0" applyFont="1" applyAlignment="1">
      <alignment horizontal="center" vertical="center" textRotation="255"/>
    </xf>
  </cellXfs>
  <cellStyles count="2">
    <cellStyle name="Normal" xfId="0" builtinId="0"/>
    <cellStyle name="Per cent" xfId="1" builtinId="5"/>
  </cellStyles>
  <dxfs count="0"/>
  <tableStyles count="0" defaultTableStyle="TableStyleMedium2" defaultPivotStyle="PivotStyleLight16"/>
  <colors>
    <mruColors>
      <color rgb="FFD57777"/>
      <color rgb="FFD54F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Charts!$C$6</c:f>
              <c:strCache>
                <c:ptCount val="1"/>
                <c:pt idx="0">
                  <c:v>Percentage</c:v>
                </c:pt>
              </c:strCache>
            </c:strRef>
          </c:tx>
          <c:spPr>
            <a:solidFill>
              <a:schemeClr val="accent1"/>
            </a:solidFill>
            <a:ln>
              <a:noFill/>
            </a:ln>
            <a:effectLst/>
          </c:spPr>
          <c:invertIfNegative val="0"/>
          <c:cat>
            <c:strRef>
              <c:f>Charts!$B$7:$B$12</c:f>
              <c:strCache>
                <c:ptCount val="6"/>
                <c:pt idx="0">
                  <c:v>PhD student/candidate</c:v>
                </c:pt>
                <c:pt idx="1">
                  <c:v>Postdoctoral researcher</c:v>
                </c:pt>
                <c:pt idx="2">
                  <c:v>Research staff</c:v>
                </c:pt>
                <c:pt idx="3">
                  <c:v>Teaching-focused academic (any level)</c:v>
                </c:pt>
                <c:pt idx="4">
                  <c:v>Tenure-track faculty (any level)</c:v>
                </c:pt>
                <c:pt idx="5">
                  <c:v>Tenured faculty (any level)</c:v>
                </c:pt>
              </c:strCache>
            </c:strRef>
          </c:cat>
          <c:val>
            <c:numRef>
              <c:f>Charts!$C$7:$C$12</c:f>
              <c:numCache>
                <c:formatCode>0%</c:formatCode>
                <c:ptCount val="6"/>
                <c:pt idx="0">
                  <c:v>0.12598425196850394</c:v>
                </c:pt>
                <c:pt idx="1">
                  <c:v>8.6614173228346455E-2</c:v>
                </c:pt>
                <c:pt idx="2">
                  <c:v>7.0866141732283464E-2</c:v>
                </c:pt>
                <c:pt idx="3">
                  <c:v>3.937007874015748E-2</c:v>
                </c:pt>
                <c:pt idx="4">
                  <c:v>0.20472440944881889</c:v>
                </c:pt>
                <c:pt idx="5">
                  <c:v>0.44881889763779526</c:v>
                </c:pt>
              </c:numCache>
            </c:numRef>
          </c:val>
          <c:extLst>
            <c:ext xmlns:c16="http://schemas.microsoft.com/office/drawing/2014/chart" uri="{C3380CC4-5D6E-409C-BE32-E72D297353CC}">
              <c16:uniqueId val="{00000000-08E2-CD4D-B340-8FB44E5618F5}"/>
            </c:ext>
          </c:extLst>
        </c:ser>
        <c:dLbls>
          <c:showLegendKey val="0"/>
          <c:showVal val="0"/>
          <c:showCatName val="0"/>
          <c:showSerName val="0"/>
          <c:showPercent val="0"/>
          <c:showBubbleSize val="0"/>
        </c:dLbls>
        <c:gapWidth val="182"/>
        <c:axId val="999518016"/>
        <c:axId val="999587840"/>
      </c:barChart>
      <c:catAx>
        <c:axId val="99951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9587840"/>
        <c:crosses val="autoZero"/>
        <c:auto val="1"/>
        <c:lblAlgn val="ctr"/>
        <c:lblOffset val="100"/>
        <c:noMultiLvlLbl val="0"/>
      </c:catAx>
      <c:valAx>
        <c:axId val="999587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9518016"/>
        <c:crosses val="autoZero"/>
        <c:crossBetween val="between"/>
      </c:valAx>
      <c:spPr>
        <a:noFill/>
        <a:ln>
          <a:noFill/>
        </a:ln>
        <a:effectLst/>
      </c:spPr>
    </c:plotArea>
    <c:plotVisOnly val="1"/>
    <c:dispBlanksAs val="gap"/>
    <c:showDLblsOverMax val="0"/>
  </c:chart>
  <c:spPr>
    <a:solidFill>
      <a:schemeClr val="bg1"/>
    </a:solidFill>
    <a:ln w="508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Identification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Charts!$C$34</c:f>
              <c:strCache>
                <c:ptCount val="1"/>
                <c:pt idx="0">
                  <c:v>Percentage</c:v>
                </c:pt>
              </c:strCache>
            </c:strRef>
          </c:tx>
          <c:spPr>
            <a:solidFill>
              <a:schemeClr val="accent1"/>
            </a:solidFill>
            <a:ln>
              <a:noFill/>
            </a:ln>
            <a:effectLst/>
          </c:spPr>
          <c:invertIfNegative val="0"/>
          <c:cat>
            <c:strRef>
              <c:f>Charts!$B$35:$B$39</c:f>
              <c:strCache>
                <c:ptCount val="5"/>
                <c:pt idx="0">
                  <c:v>Male</c:v>
                </c:pt>
                <c:pt idx="1">
                  <c:v>Female</c:v>
                </c:pt>
                <c:pt idx="2">
                  <c:v>Non-binary</c:v>
                </c:pt>
                <c:pt idx="3">
                  <c:v>Prefer not to say</c:v>
                </c:pt>
                <c:pt idx="4">
                  <c:v>Prefer to self-describe</c:v>
                </c:pt>
              </c:strCache>
            </c:strRef>
          </c:cat>
          <c:val>
            <c:numRef>
              <c:f>Charts!$C$35:$C$39</c:f>
              <c:numCache>
                <c:formatCode>0%</c:formatCode>
                <c:ptCount val="5"/>
                <c:pt idx="0">
                  <c:v>0.60629921259842523</c:v>
                </c:pt>
                <c:pt idx="1">
                  <c:v>0.37007874015748032</c:v>
                </c:pt>
                <c:pt idx="2">
                  <c:v>0</c:v>
                </c:pt>
                <c:pt idx="3">
                  <c:v>2.3622047244094488E-2</c:v>
                </c:pt>
                <c:pt idx="4">
                  <c:v>0</c:v>
                </c:pt>
              </c:numCache>
            </c:numRef>
          </c:val>
          <c:extLst>
            <c:ext xmlns:c16="http://schemas.microsoft.com/office/drawing/2014/chart" uri="{C3380CC4-5D6E-409C-BE32-E72D297353CC}">
              <c16:uniqueId val="{00000000-A183-454B-BAC3-FB7B10E3281D}"/>
            </c:ext>
          </c:extLst>
        </c:ser>
        <c:dLbls>
          <c:showLegendKey val="0"/>
          <c:showVal val="0"/>
          <c:showCatName val="0"/>
          <c:showSerName val="0"/>
          <c:showPercent val="0"/>
          <c:showBubbleSize val="0"/>
        </c:dLbls>
        <c:gapWidth val="182"/>
        <c:axId val="1590794368"/>
        <c:axId val="999278784"/>
      </c:barChart>
      <c:catAx>
        <c:axId val="159079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9278784"/>
        <c:crosses val="autoZero"/>
        <c:auto val="1"/>
        <c:lblAlgn val="ctr"/>
        <c:lblOffset val="100"/>
        <c:noMultiLvlLbl val="0"/>
      </c:catAx>
      <c:valAx>
        <c:axId val="9992787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0794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Charts!$C$62</c:f>
              <c:strCache>
                <c:ptCount val="1"/>
                <c:pt idx="0">
                  <c:v>% (of 127)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Charts!$B$63:$B$68</c:f>
              <c:strCache>
                <c:ptCount val="6"/>
                <c:pt idx="0">
                  <c:v>Europe</c:v>
                </c:pt>
                <c:pt idx="1">
                  <c:v>North America</c:v>
                </c:pt>
                <c:pt idx="2">
                  <c:v>Asia</c:v>
                </c:pt>
                <c:pt idx="3">
                  <c:v>South America</c:v>
                </c:pt>
                <c:pt idx="4">
                  <c:v>Oceania</c:v>
                </c:pt>
                <c:pt idx="5">
                  <c:v>Africa</c:v>
                </c:pt>
              </c:strCache>
            </c:strRef>
          </c:cat>
          <c:val>
            <c:numRef>
              <c:f>Charts!$C$63:$C$68</c:f>
              <c:numCache>
                <c:formatCode>0.00%</c:formatCode>
                <c:ptCount val="6"/>
                <c:pt idx="0">
                  <c:v>0.52755905511811019</c:v>
                </c:pt>
                <c:pt idx="1">
                  <c:v>0.27559055118110237</c:v>
                </c:pt>
                <c:pt idx="2">
                  <c:v>9.4488188976377951E-2</c:v>
                </c:pt>
                <c:pt idx="3">
                  <c:v>6.2992125984251968E-2</c:v>
                </c:pt>
                <c:pt idx="4">
                  <c:v>3.1496062992125984E-2</c:v>
                </c:pt>
                <c:pt idx="5">
                  <c:v>0</c:v>
                </c:pt>
              </c:numCache>
            </c:numRef>
          </c:val>
          <c:extLst>
            <c:ext xmlns:c16="http://schemas.microsoft.com/office/drawing/2014/chart" uri="{C3380CC4-5D6E-409C-BE32-E72D297353CC}">
              <c16:uniqueId val="{00000000-6165-3845-A0B8-A3ED786C7209}"/>
            </c:ext>
          </c:extLst>
        </c:ser>
        <c:dLbls>
          <c:dLblPos val="outEnd"/>
          <c:showLegendKey val="0"/>
          <c:showVal val="1"/>
          <c:showCatName val="0"/>
          <c:showSerName val="0"/>
          <c:showPercent val="0"/>
          <c:showBubbleSize val="0"/>
        </c:dLbls>
        <c:gapWidth val="219"/>
        <c:overlap val="-27"/>
        <c:axId val="1764590912"/>
        <c:axId val="2123527296"/>
      </c:barChart>
      <c:catAx>
        <c:axId val="176459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527296"/>
        <c:crosses val="autoZero"/>
        <c:auto val="1"/>
        <c:lblAlgn val="ctr"/>
        <c:lblOffset val="100"/>
        <c:noMultiLvlLbl val="0"/>
      </c:catAx>
      <c:valAx>
        <c:axId val="2123527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590912"/>
        <c:crosses val="autoZero"/>
        <c:crossBetween val="between"/>
      </c:valAx>
      <c:spPr>
        <a:noFill/>
        <a:ln>
          <a:noFill/>
        </a:ln>
        <a:effectLst/>
      </c:spPr>
    </c:plotArea>
    <c:plotVisOnly val="1"/>
    <c:dispBlanksAs val="gap"/>
    <c:showDLblsOverMax val="0"/>
  </c:chart>
  <c:spPr>
    <a:solidFill>
      <a:schemeClr val="bg1"/>
    </a:solidFill>
    <a:ln w="508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GenAI</a:t>
            </a:r>
            <a:r>
              <a:rPr lang="en-GB" baseline="0"/>
              <a:t> </a:t>
            </a:r>
            <a:r>
              <a:rPr lang="en-GB"/>
              <a:t>Usage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Charts!$C$126</c:f>
              <c:strCache>
                <c:ptCount val="1"/>
                <c:pt idx="0">
                  <c:v>Percentage</c:v>
                </c:pt>
              </c:strCache>
            </c:strRef>
          </c:tx>
          <c:spPr>
            <a:solidFill>
              <a:schemeClr val="accent1"/>
            </a:solidFill>
            <a:ln>
              <a:noFill/>
            </a:ln>
            <a:effectLst/>
          </c:spPr>
          <c:invertIfNegative val="0"/>
          <c:cat>
            <c:strRef>
              <c:f>Charts!$B$127:$B$129</c:f>
              <c:strCache>
                <c:ptCount val="3"/>
                <c:pt idx="0">
                  <c:v>Low (occasional use)</c:v>
                </c:pt>
                <c:pt idx="1">
                  <c:v>Moderate (regular use)</c:v>
                </c:pt>
                <c:pt idx="2">
                  <c:v>High (daily or near-daily use)</c:v>
                </c:pt>
              </c:strCache>
            </c:strRef>
          </c:cat>
          <c:val>
            <c:numRef>
              <c:f>Charts!$C$127:$C$129</c:f>
              <c:numCache>
                <c:formatCode>0%</c:formatCode>
                <c:ptCount val="3"/>
                <c:pt idx="0">
                  <c:v>0.23622047244094488</c:v>
                </c:pt>
                <c:pt idx="1">
                  <c:v>0.42519685039370081</c:v>
                </c:pt>
                <c:pt idx="2">
                  <c:v>0.33858267716535434</c:v>
                </c:pt>
              </c:numCache>
            </c:numRef>
          </c:val>
          <c:extLst>
            <c:ext xmlns:c16="http://schemas.microsoft.com/office/drawing/2014/chart" uri="{C3380CC4-5D6E-409C-BE32-E72D297353CC}">
              <c16:uniqueId val="{00000000-A866-EF44-A85B-FE31C0C86331}"/>
            </c:ext>
          </c:extLst>
        </c:ser>
        <c:dLbls>
          <c:showLegendKey val="0"/>
          <c:showVal val="0"/>
          <c:showCatName val="0"/>
          <c:showSerName val="0"/>
          <c:showPercent val="0"/>
          <c:showBubbleSize val="0"/>
        </c:dLbls>
        <c:gapWidth val="219"/>
        <c:overlap val="-27"/>
        <c:axId val="980341568"/>
        <c:axId val="966906688"/>
      </c:barChart>
      <c:catAx>
        <c:axId val="98034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906688"/>
        <c:crosses val="autoZero"/>
        <c:auto val="1"/>
        <c:lblAlgn val="ctr"/>
        <c:lblOffset val="100"/>
        <c:noMultiLvlLbl val="0"/>
      </c:catAx>
      <c:valAx>
        <c:axId val="966906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341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GenAI Understanding</a:t>
            </a:r>
            <a:r>
              <a:rPr lang="en-GB" baseline="0"/>
              <a:t> Level</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Charts!$C$144</c:f>
              <c:strCache>
                <c:ptCount val="1"/>
                <c:pt idx="0">
                  <c:v>Percentage</c:v>
                </c:pt>
              </c:strCache>
            </c:strRef>
          </c:tx>
          <c:spPr>
            <a:solidFill>
              <a:schemeClr val="accent1"/>
            </a:solidFill>
            <a:ln>
              <a:noFill/>
            </a:ln>
            <a:effectLst/>
          </c:spPr>
          <c:invertIfNegative val="0"/>
          <c:cat>
            <c:strRef>
              <c:f>Charts!$B$145:$B$147</c:f>
              <c:strCache>
                <c:ptCount val="3"/>
                <c:pt idx="0">
                  <c:v>Novice (e.g., use it as a search engine)</c:v>
                </c:pt>
                <c:pt idx="1">
                  <c:v>Mid user (e.g., I can perform basic prompt engineering and/or can also tweak the model's parameters)</c:v>
                </c:pt>
                <c:pt idx="2">
                  <c:v>Proficient  (e.g., I understand the inner workings of GenAI)</c:v>
                </c:pt>
              </c:strCache>
            </c:strRef>
          </c:cat>
          <c:val>
            <c:numRef>
              <c:f>Charts!$C$145:$C$147</c:f>
              <c:numCache>
                <c:formatCode>0%</c:formatCode>
                <c:ptCount val="3"/>
                <c:pt idx="0">
                  <c:v>7.874015748031496E-2</c:v>
                </c:pt>
                <c:pt idx="1">
                  <c:v>0.49606299212598426</c:v>
                </c:pt>
                <c:pt idx="2">
                  <c:v>0.42519685039370081</c:v>
                </c:pt>
              </c:numCache>
            </c:numRef>
          </c:val>
          <c:extLst>
            <c:ext xmlns:c16="http://schemas.microsoft.com/office/drawing/2014/chart" uri="{C3380CC4-5D6E-409C-BE32-E72D297353CC}">
              <c16:uniqueId val="{00000000-C48F-3D47-B345-C6D3E15A12C5}"/>
            </c:ext>
          </c:extLst>
        </c:ser>
        <c:dLbls>
          <c:showLegendKey val="0"/>
          <c:showVal val="0"/>
          <c:showCatName val="0"/>
          <c:showSerName val="0"/>
          <c:showPercent val="0"/>
          <c:showBubbleSize val="0"/>
        </c:dLbls>
        <c:gapWidth val="182"/>
        <c:axId val="964523584"/>
        <c:axId val="964512384"/>
      </c:barChart>
      <c:catAx>
        <c:axId val="96452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512384"/>
        <c:crosses val="autoZero"/>
        <c:auto val="1"/>
        <c:lblAlgn val="ctr"/>
        <c:lblOffset val="100"/>
        <c:noMultiLvlLbl val="0"/>
      </c:catAx>
      <c:valAx>
        <c:axId val="9645123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523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Awareness of the Institutional</a:t>
            </a:r>
            <a:r>
              <a:rPr lang="en-US" baseline="0"/>
              <a:t> Guidelines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Charts!$C$159</c:f>
              <c:strCache>
                <c:ptCount val="1"/>
                <c:pt idx="0">
                  <c:v>Percentage</c:v>
                </c:pt>
              </c:strCache>
            </c:strRef>
          </c:tx>
          <c:spPr>
            <a:solidFill>
              <a:schemeClr val="accent1"/>
            </a:solidFill>
            <a:ln>
              <a:noFill/>
            </a:ln>
            <a:effectLst/>
          </c:spPr>
          <c:invertIfNegative val="0"/>
          <c:cat>
            <c:strRef>
              <c:f>Charts!$B$160:$B$161</c:f>
              <c:strCache>
                <c:ptCount val="2"/>
                <c:pt idx="0">
                  <c:v>Yes</c:v>
                </c:pt>
                <c:pt idx="1">
                  <c:v>No</c:v>
                </c:pt>
              </c:strCache>
            </c:strRef>
          </c:cat>
          <c:val>
            <c:numRef>
              <c:f>Charts!$C$160:$C$161</c:f>
              <c:numCache>
                <c:formatCode>0%</c:formatCode>
                <c:ptCount val="2"/>
                <c:pt idx="0">
                  <c:v>0.8110236220472441</c:v>
                </c:pt>
                <c:pt idx="1">
                  <c:v>0.1889763779527559</c:v>
                </c:pt>
              </c:numCache>
            </c:numRef>
          </c:val>
          <c:extLst>
            <c:ext xmlns:c16="http://schemas.microsoft.com/office/drawing/2014/chart" uri="{C3380CC4-5D6E-409C-BE32-E72D297353CC}">
              <c16:uniqueId val="{00000000-2C7D-B841-A595-65EA6DDCD70A}"/>
            </c:ext>
          </c:extLst>
        </c:ser>
        <c:dLbls>
          <c:showLegendKey val="0"/>
          <c:showVal val="0"/>
          <c:showCatName val="0"/>
          <c:showSerName val="0"/>
          <c:showPercent val="0"/>
          <c:showBubbleSize val="0"/>
        </c:dLbls>
        <c:gapWidth val="182"/>
        <c:axId val="952163776"/>
        <c:axId val="952157504"/>
      </c:barChart>
      <c:catAx>
        <c:axId val="95216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57504"/>
        <c:crosses val="autoZero"/>
        <c:auto val="1"/>
        <c:lblAlgn val="ctr"/>
        <c:lblOffset val="100"/>
        <c:noMultiLvlLbl val="0"/>
      </c:catAx>
      <c:valAx>
        <c:axId val="9521575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63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Adherence to the Institutional Guidelines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Charts!$C$170</c:f>
              <c:strCache>
                <c:ptCount val="1"/>
                <c:pt idx="0">
                  <c:v>Percentage</c:v>
                </c:pt>
              </c:strCache>
            </c:strRef>
          </c:tx>
          <c:spPr>
            <a:solidFill>
              <a:schemeClr val="accent1"/>
            </a:solidFill>
            <a:ln>
              <a:noFill/>
            </a:ln>
            <a:effectLst/>
          </c:spPr>
          <c:invertIfNegative val="0"/>
          <c:cat>
            <c:strRef>
              <c:f>Charts!$B$171:$B$175</c:f>
              <c:strCache>
                <c:ptCount val="5"/>
                <c:pt idx="0">
                  <c:v>Strongly agree</c:v>
                </c:pt>
                <c:pt idx="1">
                  <c:v>Somewhat agree</c:v>
                </c:pt>
                <c:pt idx="2">
                  <c:v>Neutral</c:v>
                </c:pt>
                <c:pt idx="3">
                  <c:v>Somewhat disagree</c:v>
                </c:pt>
                <c:pt idx="4">
                  <c:v>Strongly disagree</c:v>
                </c:pt>
              </c:strCache>
            </c:strRef>
          </c:cat>
          <c:val>
            <c:numRef>
              <c:f>Charts!$C$171:$C$175</c:f>
              <c:numCache>
                <c:formatCode>0%</c:formatCode>
                <c:ptCount val="5"/>
                <c:pt idx="0">
                  <c:v>0.52427184466019416</c:v>
                </c:pt>
                <c:pt idx="1">
                  <c:v>0.32038834951456313</c:v>
                </c:pt>
                <c:pt idx="2">
                  <c:v>9.7087378640776698E-2</c:v>
                </c:pt>
                <c:pt idx="3">
                  <c:v>5.8252427184466021E-2</c:v>
                </c:pt>
                <c:pt idx="4">
                  <c:v>0</c:v>
                </c:pt>
              </c:numCache>
            </c:numRef>
          </c:val>
          <c:extLst>
            <c:ext xmlns:c16="http://schemas.microsoft.com/office/drawing/2014/chart" uri="{C3380CC4-5D6E-409C-BE32-E72D297353CC}">
              <c16:uniqueId val="{00000000-8723-9248-93A8-DD2E6BF61BEE}"/>
            </c:ext>
          </c:extLst>
        </c:ser>
        <c:dLbls>
          <c:showLegendKey val="0"/>
          <c:showVal val="0"/>
          <c:showCatName val="0"/>
          <c:showSerName val="0"/>
          <c:showPercent val="0"/>
          <c:showBubbleSize val="0"/>
        </c:dLbls>
        <c:gapWidth val="182"/>
        <c:overlap val="100"/>
        <c:axId val="952543296"/>
        <c:axId val="953622400"/>
      </c:barChart>
      <c:catAx>
        <c:axId val="95254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22400"/>
        <c:crosses val="autoZero"/>
        <c:auto val="1"/>
        <c:lblAlgn val="ctr"/>
        <c:lblOffset val="100"/>
        <c:noMultiLvlLbl val="0"/>
      </c:catAx>
      <c:valAx>
        <c:axId val="9536224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543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Charts!$B$195:$B$203</c:f>
              <c:strCache>
                <c:ptCount val="9"/>
                <c:pt idx="0">
                  <c:v>I don’t use it for teaching</c:v>
                </c:pt>
                <c:pt idx="1">
                  <c:v>Drafting/reviewing communication/Correspondence</c:v>
                </c:pt>
                <c:pt idx="2">
                  <c:v>Drafting/reviewing documentation</c:v>
                </c:pt>
                <c:pt idx="3">
                  <c:v>Preparing material for lectures</c:v>
                </c:pt>
                <c:pt idx="4">
                  <c:v>Generating ideas for assessments</c:v>
                </c:pt>
                <c:pt idx="5">
                  <c:v>Preparing material for assessments</c:v>
                </c:pt>
                <c:pt idx="6">
                  <c:v>Self-preparation for the lecture</c:v>
                </c:pt>
                <c:pt idx="7">
                  <c:v>Structuring the lectures</c:v>
                </c:pt>
                <c:pt idx="8">
                  <c:v>Evaluating students' assessments</c:v>
                </c:pt>
              </c:strCache>
            </c:strRef>
          </c:cat>
          <c:val>
            <c:numRef>
              <c:f>Charts!$C$195:$C$203</c:f>
              <c:numCache>
                <c:formatCode>0%</c:formatCode>
                <c:ptCount val="9"/>
                <c:pt idx="0">
                  <c:v>0.2125984251968504</c:v>
                </c:pt>
                <c:pt idx="1">
                  <c:v>0.37007874015748032</c:v>
                </c:pt>
                <c:pt idx="2">
                  <c:v>0.38582677165354329</c:v>
                </c:pt>
                <c:pt idx="3">
                  <c:v>0.33070866141732286</c:v>
                </c:pt>
                <c:pt idx="4">
                  <c:v>0.49606299212598426</c:v>
                </c:pt>
                <c:pt idx="5">
                  <c:v>0.39370078740157483</c:v>
                </c:pt>
                <c:pt idx="6">
                  <c:v>0.32283464566929132</c:v>
                </c:pt>
                <c:pt idx="7">
                  <c:v>0.2125984251968504</c:v>
                </c:pt>
                <c:pt idx="8">
                  <c:v>6.2992125984251968E-2</c:v>
                </c:pt>
              </c:numCache>
            </c:numRef>
          </c:val>
          <c:extLst>
            <c:ext xmlns:c16="http://schemas.microsoft.com/office/drawing/2014/chart" uri="{C3380CC4-5D6E-409C-BE32-E72D297353CC}">
              <c16:uniqueId val="{00000000-6B64-BB44-A567-24B60CFFD80D}"/>
            </c:ext>
          </c:extLst>
        </c:ser>
        <c:dLbls>
          <c:showLegendKey val="0"/>
          <c:showVal val="0"/>
          <c:showCatName val="0"/>
          <c:showSerName val="0"/>
          <c:showPercent val="0"/>
          <c:showBubbleSize val="0"/>
        </c:dLbls>
        <c:gapWidth val="182"/>
        <c:axId val="1605419904"/>
        <c:axId val="1605432448"/>
      </c:barChart>
      <c:catAx>
        <c:axId val="1605419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5432448"/>
        <c:crosses val="autoZero"/>
        <c:auto val="1"/>
        <c:lblAlgn val="ctr"/>
        <c:lblOffset val="100"/>
        <c:noMultiLvlLbl val="0"/>
      </c:catAx>
      <c:valAx>
        <c:axId val="1605432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5419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Charts!$B$225:$B$238</c:f>
              <c:strCache>
                <c:ptCount val="14"/>
                <c:pt idx="0">
                  <c:v>I don’t use it for research</c:v>
                </c:pt>
                <c:pt idx="1">
                  <c:v>Language checking (including drafting/reviewing communication/correspondence)</c:v>
                </c:pt>
                <c:pt idx="2">
                  <c:v>Quick recollection of concepts</c:v>
                </c:pt>
                <c:pt idx="3">
                  <c:v>Idea generation</c:v>
                </c:pt>
                <c:pt idx="4">
                  <c:v>Find relevant literature</c:v>
                </c:pt>
                <c:pt idx="5">
                  <c:v>Data analysis</c:v>
                </c:pt>
                <c:pt idx="6">
                  <c:v>Graphic generation</c:v>
                </c:pt>
                <c:pt idx="7">
                  <c:v>Structuring my research artefacts</c:v>
                </c:pt>
                <c:pt idx="8">
                  <c:v>Drafting my grants/proposals</c:v>
                </c:pt>
                <c:pt idx="9">
                  <c:v>Drafting my articles</c:v>
                </c:pt>
                <c:pt idx="10">
                  <c:v>Critically reviewing my grants/proposals</c:v>
                </c:pt>
                <c:pt idx="11">
                  <c:v>Critically reviewing my articles</c:v>
                </c:pt>
                <c:pt idx="12">
                  <c:v>Peer reviewing articles</c:v>
                </c:pt>
                <c:pt idx="13">
                  <c:v>Coding or Scripting</c:v>
                </c:pt>
              </c:strCache>
            </c:strRef>
          </c:cat>
          <c:val>
            <c:numRef>
              <c:f>Charts!$C$225:$C$238</c:f>
              <c:numCache>
                <c:formatCode>0%</c:formatCode>
                <c:ptCount val="14"/>
                <c:pt idx="0">
                  <c:v>2.3622047244094488E-2</c:v>
                </c:pt>
                <c:pt idx="1">
                  <c:v>0.77165354330708658</c:v>
                </c:pt>
                <c:pt idx="2">
                  <c:v>0.29921259842519687</c:v>
                </c:pt>
                <c:pt idx="3">
                  <c:v>0.29133858267716534</c:v>
                </c:pt>
                <c:pt idx="4">
                  <c:v>0.44881889763779526</c:v>
                </c:pt>
                <c:pt idx="5">
                  <c:v>0.31496062992125984</c:v>
                </c:pt>
                <c:pt idx="6">
                  <c:v>0.29921259842519687</c:v>
                </c:pt>
                <c:pt idx="7">
                  <c:v>0.23622047244094488</c:v>
                </c:pt>
                <c:pt idx="8">
                  <c:v>0.23622047244094488</c:v>
                </c:pt>
                <c:pt idx="9">
                  <c:v>0.15748031496062992</c:v>
                </c:pt>
                <c:pt idx="10">
                  <c:v>0.36220472440944884</c:v>
                </c:pt>
                <c:pt idx="11">
                  <c:v>0.46456692913385828</c:v>
                </c:pt>
                <c:pt idx="12">
                  <c:v>0.12598425196850394</c:v>
                </c:pt>
                <c:pt idx="13">
                  <c:v>9.4488188976377951E-2</c:v>
                </c:pt>
              </c:numCache>
            </c:numRef>
          </c:val>
          <c:extLst>
            <c:ext xmlns:c16="http://schemas.microsoft.com/office/drawing/2014/chart" uri="{C3380CC4-5D6E-409C-BE32-E72D297353CC}">
              <c16:uniqueId val="{00000000-E9E8-D545-8BBD-3380EC2D5B86}"/>
            </c:ext>
          </c:extLst>
        </c:ser>
        <c:dLbls>
          <c:showLegendKey val="0"/>
          <c:showVal val="0"/>
          <c:showCatName val="0"/>
          <c:showSerName val="0"/>
          <c:showPercent val="0"/>
          <c:showBubbleSize val="0"/>
        </c:dLbls>
        <c:gapWidth val="182"/>
        <c:axId val="984965888"/>
        <c:axId val="967038656"/>
      </c:barChart>
      <c:catAx>
        <c:axId val="98496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7038656"/>
        <c:crosses val="autoZero"/>
        <c:auto val="1"/>
        <c:lblAlgn val="ctr"/>
        <c:lblOffset val="100"/>
        <c:noMultiLvlLbl val="0"/>
      </c:catAx>
      <c:valAx>
        <c:axId val="9670386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4965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tx>
            <c:strRef>
              <c:f>Charts!$F$173</c:f>
              <c:strCache>
                <c:ptCount val="1"/>
                <c:pt idx="0">
                  <c:v>Strongly disagree</c:v>
                </c:pt>
              </c:strCache>
            </c:strRef>
          </c:tx>
          <c:spPr>
            <a:solidFill>
              <a:schemeClr val="accent1"/>
            </a:solidFill>
            <a:ln>
              <a:noFill/>
            </a:ln>
            <a:effectLst/>
          </c:spPr>
          <c:invertIfNegative val="0"/>
          <c:dLbls>
            <c:dLbl>
              <c:idx val="0"/>
              <c:tx>
                <c:rich>
                  <a:bodyPr/>
                  <a:lstStyle/>
                  <a:p>
                    <a:r>
                      <a:rPr lang="en-US"/>
                      <a:t>10%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11B-FA4E-A09F-508034F9D1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Charts!$E$174</c:f>
              <c:numCache>
                <c:formatCode>General</c:formatCode>
                <c:ptCount val="1"/>
              </c:numCache>
            </c:numRef>
          </c:cat>
          <c:val>
            <c:numRef>
              <c:f>Charts!$F$174</c:f>
              <c:numCache>
                <c:formatCode>0%</c:formatCode>
                <c:ptCount val="1"/>
                <c:pt idx="0">
                  <c:v>0</c:v>
                </c:pt>
              </c:numCache>
            </c:numRef>
          </c:val>
          <c:extLst>
            <c:ext xmlns:c16="http://schemas.microsoft.com/office/drawing/2014/chart" uri="{C3380CC4-5D6E-409C-BE32-E72D297353CC}">
              <c16:uniqueId val="{00000000-811B-FA4E-A09F-508034F9D1CB}"/>
            </c:ext>
          </c:extLst>
        </c:ser>
        <c:ser>
          <c:idx val="3"/>
          <c:order val="1"/>
          <c:tx>
            <c:strRef>
              <c:f>Charts!$H$173</c:f>
              <c:strCache>
                <c:ptCount val="1"/>
                <c:pt idx="0">
                  <c:v>Neutral</c:v>
                </c:pt>
              </c:strCache>
            </c:strRef>
          </c:tx>
          <c:spPr>
            <a:solidFill>
              <a:schemeClr val="bg2"/>
            </a:solidFill>
            <a:ln>
              <a:noFill/>
            </a:ln>
            <a:effectLst/>
          </c:spPr>
          <c:invertIfNegative val="0"/>
          <c:dLbls>
            <c:delete val="1"/>
          </c:dLbls>
          <c:cat>
            <c:numRef>
              <c:f>Charts!$E$174</c:f>
              <c:numCache>
                <c:formatCode>General</c:formatCode>
                <c:ptCount val="1"/>
              </c:numCache>
            </c:numRef>
          </c:cat>
          <c:val>
            <c:numRef>
              <c:f>Charts!$H$174</c:f>
              <c:numCache>
                <c:formatCode>0%</c:formatCode>
                <c:ptCount val="1"/>
                <c:pt idx="0">
                  <c:v>-0.05</c:v>
                </c:pt>
              </c:numCache>
            </c:numRef>
          </c:val>
          <c:extLst>
            <c:ext xmlns:c16="http://schemas.microsoft.com/office/drawing/2014/chart" uri="{C3380CC4-5D6E-409C-BE32-E72D297353CC}">
              <c16:uniqueId val="{00000003-811B-FA4E-A09F-508034F9D1CB}"/>
            </c:ext>
          </c:extLst>
        </c:ser>
        <c:ser>
          <c:idx val="1"/>
          <c:order val="2"/>
          <c:tx>
            <c:strRef>
              <c:f>Charts!$G$173</c:f>
              <c:strCache>
                <c:ptCount val="1"/>
                <c:pt idx="0">
                  <c:v>Somewhat disagree</c:v>
                </c:pt>
              </c:strCache>
            </c:strRef>
          </c:tx>
          <c:spPr>
            <a:solidFill>
              <a:srgbClr val="D57777"/>
            </a:solidFill>
            <a:ln>
              <a:noFill/>
            </a:ln>
            <a:effectLst/>
          </c:spPr>
          <c:invertIfNegative val="0"/>
          <c:dLbls>
            <c:delete val="1"/>
          </c:dLbls>
          <c:cat>
            <c:numRef>
              <c:f>Charts!$E$174</c:f>
              <c:numCache>
                <c:formatCode>General</c:formatCode>
                <c:ptCount val="1"/>
              </c:numCache>
            </c:numRef>
          </c:cat>
          <c:val>
            <c:numRef>
              <c:f>Charts!$G$174</c:f>
              <c:numCache>
                <c:formatCode>0%</c:formatCode>
                <c:ptCount val="1"/>
                <c:pt idx="0">
                  <c:v>-0.06</c:v>
                </c:pt>
              </c:numCache>
            </c:numRef>
          </c:val>
          <c:extLst>
            <c:ext xmlns:c16="http://schemas.microsoft.com/office/drawing/2014/chart" uri="{C3380CC4-5D6E-409C-BE32-E72D297353CC}">
              <c16:uniqueId val="{00000001-811B-FA4E-A09F-508034F9D1CB}"/>
            </c:ext>
          </c:extLst>
        </c:ser>
        <c:ser>
          <c:idx val="2"/>
          <c:order val="3"/>
          <c:tx>
            <c:strRef>
              <c:f>Charts!$I$173</c:f>
              <c:strCache>
                <c:ptCount val="1"/>
                <c:pt idx="0">
                  <c:v>Neutral</c:v>
                </c:pt>
              </c:strCache>
            </c:strRef>
          </c:tx>
          <c:spPr>
            <a:solidFill>
              <a:schemeClr val="bg2"/>
            </a:solidFill>
            <a:ln>
              <a:noFill/>
            </a:ln>
            <a:effectLst/>
          </c:spPr>
          <c:invertIfNegative val="0"/>
          <c:dLbls>
            <c:delete val="1"/>
          </c:dLbls>
          <c:val>
            <c:numRef>
              <c:f>Charts!$I$174</c:f>
              <c:numCache>
                <c:formatCode>0%</c:formatCode>
                <c:ptCount val="1"/>
                <c:pt idx="0">
                  <c:v>0.05</c:v>
                </c:pt>
              </c:numCache>
            </c:numRef>
          </c:val>
          <c:extLst>
            <c:ext xmlns:c16="http://schemas.microsoft.com/office/drawing/2014/chart" uri="{C3380CC4-5D6E-409C-BE32-E72D297353CC}">
              <c16:uniqueId val="{00000006-811B-FA4E-A09F-508034F9D1CB}"/>
            </c:ext>
          </c:extLst>
        </c:ser>
        <c:ser>
          <c:idx val="4"/>
          <c:order val="4"/>
          <c:tx>
            <c:strRef>
              <c:f>Charts!$J$173</c:f>
              <c:strCache>
                <c:ptCount val="1"/>
                <c:pt idx="0">
                  <c:v>Somewhat agree</c:v>
                </c:pt>
              </c:strCache>
            </c:strRef>
          </c:tx>
          <c:spPr>
            <a:solidFill>
              <a:schemeClr val="accent1">
                <a:lumMod val="60000"/>
                <a:lumOff val="40000"/>
              </a:schemeClr>
            </a:solidFill>
            <a:ln>
              <a:noFill/>
            </a:ln>
            <a:effectLst/>
          </c:spPr>
          <c:invertIfNegative val="0"/>
          <c:dLbls>
            <c:delete val="1"/>
          </c:dLbls>
          <c:cat>
            <c:numRef>
              <c:f>Charts!$E$174</c:f>
              <c:numCache>
                <c:formatCode>General</c:formatCode>
                <c:ptCount val="1"/>
              </c:numCache>
            </c:numRef>
          </c:cat>
          <c:val>
            <c:numRef>
              <c:f>Charts!$J$174</c:f>
              <c:numCache>
                <c:formatCode>0%</c:formatCode>
                <c:ptCount val="1"/>
                <c:pt idx="0">
                  <c:v>0.32</c:v>
                </c:pt>
              </c:numCache>
            </c:numRef>
          </c:val>
          <c:extLst>
            <c:ext xmlns:c16="http://schemas.microsoft.com/office/drawing/2014/chart" uri="{C3380CC4-5D6E-409C-BE32-E72D297353CC}">
              <c16:uniqueId val="{00000004-811B-FA4E-A09F-508034F9D1CB}"/>
            </c:ext>
          </c:extLst>
        </c:ser>
        <c:ser>
          <c:idx val="5"/>
          <c:order val="5"/>
          <c:tx>
            <c:strRef>
              <c:f>Charts!$K$173</c:f>
              <c:strCache>
                <c:ptCount val="1"/>
                <c:pt idx="0">
                  <c:v>Strongly agree</c:v>
                </c:pt>
              </c:strCache>
            </c:strRef>
          </c:tx>
          <c:spPr>
            <a:solidFill>
              <a:schemeClr val="accent1">
                <a:lumMod val="75000"/>
              </a:schemeClr>
            </a:solidFill>
            <a:ln>
              <a:noFill/>
            </a:ln>
            <a:effectLst/>
          </c:spPr>
          <c:invertIfNegative val="0"/>
          <c:dLbls>
            <c:delete val="1"/>
          </c:dLbls>
          <c:cat>
            <c:numRef>
              <c:f>Charts!$E$174</c:f>
              <c:numCache>
                <c:formatCode>General</c:formatCode>
                <c:ptCount val="1"/>
              </c:numCache>
            </c:numRef>
          </c:cat>
          <c:val>
            <c:numRef>
              <c:f>Charts!$K$174</c:f>
              <c:numCache>
                <c:formatCode>0%</c:formatCode>
                <c:ptCount val="1"/>
                <c:pt idx="0">
                  <c:v>0.52</c:v>
                </c:pt>
              </c:numCache>
            </c:numRef>
          </c:val>
          <c:extLst>
            <c:ext xmlns:c16="http://schemas.microsoft.com/office/drawing/2014/chart" uri="{C3380CC4-5D6E-409C-BE32-E72D297353CC}">
              <c16:uniqueId val="{00000005-811B-FA4E-A09F-508034F9D1CB}"/>
            </c:ext>
          </c:extLst>
        </c:ser>
        <c:dLbls>
          <c:showLegendKey val="0"/>
          <c:showVal val="1"/>
          <c:showCatName val="0"/>
          <c:showSerName val="0"/>
          <c:showPercent val="0"/>
          <c:showBubbleSize val="0"/>
        </c:dLbls>
        <c:gapWidth val="200"/>
        <c:overlap val="100"/>
        <c:axId val="774655936"/>
        <c:axId val="774660416"/>
      </c:barChart>
      <c:catAx>
        <c:axId val="774655936"/>
        <c:scaling>
          <c:orientation val="minMax"/>
        </c:scaling>
        <c:delete val="0"/>
        <c:axPos val="l"/>
        <c:numFmt formatCode="General" sourceLinked="1"/>
        <c:majorTickMark val="none"/>
        <c:minorTickMark val="none"/>
        <c:tickLblPos val="nextTo"/>
        <c:spPr>
          <a:noFill/>
          <a:ln w="9525" cap="flat" cmpd="sng" algn="ctr">
            <a:solidFill>
              <a:schemeClr val="bg2">
                <a:lumMod val="75000"/>
              </a:schemeClr>
            </a:solidFill>
            <a:prstDash val="dash"/>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60416"/>
        <c:crosses val="autoZero"/>
        <c:auto val="1"/>
        <c:lblAlgn val="ctr"/>
        <c:lblOffset val="100"/>
        <c:noMultiLvlLbl val="0"/>
      </c:catAx>
      <c:valAx>
        <c:axId val="7746604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55936"/>
        <c:crosses val="autoZero"/>
        <c:crossBetween val="between"/>
      </c:valAx>
      <c:spPr>
        <a:noFill/>
        <a:ln w="6350">
          <a:solidFill>
            <a:schemeClr val="bg1"/>
          </a:solidFill>
        </a:ln>
        <a:effectLst/>
      </c:spPr>
    </c:plotArea>
    <c:legend>
      <c:legendPos val="t"/>
      <c:legendEntry>
        <c:idx val="0"/>
        <c:delete val="1"/>
      </c:legendEntry>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percentStacked"/>
        <c:varyColors val="0"/>
        <c:ser>
          <c:idx val="0"/>
          <c:order val="0"/>
          <c:tx>
            <c:strRef>
              <c:f>Charts!$E$279</c:f>
              <c:strCache>
                <c:ptCount val="1"/>
                <c:pt idx="0">
                  <c:v>Neutral</c:v>
                </c:pt>
              </c:strCache>
            </c:strRef>
          </c:tx>
          <c:spPr>
            <a:solidFill>
              <a:srgbClr val="E8E8E8"/>
            </a:solidFill>
            <a:ln>
              <a:noFill/>
            </a:ln>
            <a:effectLst/>
          </c:spPr>
          <c:invertIfNegative val="0"/>
          <c:dLbls>
            <c:delete val="1"/>
          </c:dLbls>
          <c:val>
            <c:numRef>
              <c:f>Charts!$E$280:$E$293</c:f>
              <c:numCache>
                <c:formatCode>0%</c:formatCode>
                <c:ptCount val="14"/>
                <c:pt idx="0">
                  <c:v>0</c:v>
                </c:pt>
                <c:pt idx="1">
                  <c:v>-7.4803149606299218E-2</c:v>
                </c:pt>
                <c:pt idx="2">
                  <c:v>0</c:v>
                </c:pt>
                <c:pt idx="3">
                  <c:v>-0.17322834645669291</c:v>
                </c:pt>
                <c:pt idx="4">
                  <c:v>0</c:v>
                </c:pt>
                <c:pt idx="5">
                  <c:v>-0.22440944881889763</c:v>
                </c:pt>
                <c:pt idx="6">
                  <c:v>0</c:v>
                </c:pt>
                <c:pt idx="7">
                  <c:v>-9.4488188976377951E-2</c:v>
                </c:pt>
                <c:pt idx="8">
                  <c:v>0</c:v>
                </c:pt>
                <c:pt idx="9">
                  <c:v>-0.11023622047244094</c:v>
                </c:pt>
                <c:pt idx="10">
                  <c:v>0</c:v>
                </c:pt>
                <c:pt idx="11">
                  <c:v>-6.2992125984251968E-2</c:v>
                </c:pt>
                <c:pt idx="12">
                  <c:v>0</c:v>
                </c:pt>
                <c:pt idx="13">
                  <c:v>-0.1141732283464567</c:v>
                </c:pt>
              </c:numCache>
            </c:numRef>
          </c:val>
          <c:extLst>
            <c:ext xmlns:c16="http://schemas.microsoft.com/office/drawing/2014/chart" uri="{C3380CC4-5D6E-409C-BE32-E72D297353CC}">
              <c16:uniqueId val="{00000000-E136-D14D-9928-956D03DED5ED}"/>
            </c:ext>
          </c:extLst>
        </c:ser>
        <c:ser>
          <c:idx val="1"/>
          <c:order val="1"/>
          <c:tx>
            <c:strRef>
              <c:f>Charts!$D$279</c:f>
              <c:strCache>
                <c:ptCount val="1"/>
                <c:pt idx="0">
                  <c:v>Somewhat disagree</c:v>
                </c:pt>
              </c:strCache>
            </c:strRef>
          </c:tx>
          <c:spPr>
            <a:solidFill>
              <a:srgbClr val="D57777"/>
            </a:solidFill>
            <a:ln>
              <a:noFill/>
            </a:ln>
            <a:effectLst/>
          </c:spPr>
          <c:invertIfNegative val="0"/>
          <c:dLbls>
            <c:dLbl>
              <c:idx val="12"/>
              <c:delete val="1"/>
              <c:extLst>
                <c:ext xmlns:c15="http://schemas.microsoft.com/office/drawing/2012/chart" uri="{CE6537A1-D6FC-4f65-9D91-7224C49458BB}"/>
                <c:ext xmlns:c16="http://schemas.microsoft.com/office/drawing/2014/chart" uri="{C3380CC4-5D6E-409C-BE32-E72D297353CC}">
                  <c16:uniqueId val="{00000006-EB22-5F42-8607-CBB75F74C0DC}"/>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Charts!$D$280:$D$293</c:f>
              <c:numCache>
                <c:formatCode>0%</c:formatCode>
                <c:ptCount val="14"/>
                <c:pt idx="0">
                  <c:v>0</c:v>
                </c:pt>
                <c:pt idx="1">
                  <c:v>-7.0866141732283464E-2</c:v>
                </c:pt>
                <c:pt idx="2">
                  <c:v>0</c:v>
                </c:pt>
                <c:pt idx="3">
                  <c:v>-0.12598425196850394</c:v>
                </c:pt>
                <c:pt idx="4">
                  <c:v>0</c:v>
                </c:pt>
                <c:pt idx="5">
                  <c:v>-0.13385826771653545</c:v>
                </c:pt>
                <c:pt idx="6">
                  <c:v>0</c:v>
                </c:pt>
                <c:pt idx="7">
                  <c:v>-0.29133858267716534</c:v>
                </c:pt>
                <c:pt idx="8">
                  <c:v>0</c:v>
                </c:pt>
                <c:pt idx="9">
                  <c:v>-7.874015748031496E-2</c:v>
                </c:pt>
                <c:pt idx="10">
                  <c:v>0</c:v>
                </c:pt>
                <c:pt idx="11">
                  <c:v>-0.1889763779527559</c:v>
                </c:pt>
                <c:pt idx="12">
                  <c:v>0</c:v>
                </c:pt>
                <c:pt idx="13">
                  <c:v>-0.16535433070866143</c:v>
                </c:pt>
              </c:numCache>
            </c:numRef>
          </c:val>
          <c:extLst>
            <c:ext xmlns:c16="http://schemas.microsoft.com/office/drawing/2014/chart" uri="{C3380CC4-5D6E-409C-BE32-E72D297353CC}">
              <c16:uniqueId val="{00000001-E136-D14D-9928-956D03DED5ED}"/>
            </c:ext>
          </c:extLst>
        </c:ser>
        <c:ser>
          <c:idx val="3"/>
          <c:order val="2"/>
          <c:tx>
            <c:strRef>
              <c:f>Charts!$C$279</c:f>
              <c:strCache>
                <c:ptCount val="1"/>
                <c:pt idx="0">
                  <c:v>Strongly disagree</c:v>
                </c:pt>
              </c:strCache>
            </c:strRef>
          </c:tx>
          <c:spPr>
            <a:solidFill>
              <a:srgbClr val="C00000"/>
            </a:solidFill>
            <a:ln>
              <a:noFill/>
            </a:ln>
            <a:effectLst/>
          </c:spPr>
          <c:invertIfNegative val="0"/>
          <c:dLbls>
            <c:dLbl>
              <c:idx val="12"/>
              <c:delete val="1"/>
              <c:extLst>
                <c:ext xmlns:c15="http://schemas.microsoft.com/office/drawing/2012/chart" uri="{CE6537A1-D6FC-4f65-9D91-7224C49458BB}"/>
                <c:ext xmlns:c16="http://schemas.microsoft.com/office/drawing/2014/chart" uri="{C3380CC4-5D6E-409C-BE32-E72D297353CC}">
                  <c16:uniqueId val="{00000005-EB22-5F42-8607-CBB75F74C0DC}"/>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Charts!$C$280:$C$293</c:f>
              <c:numCache>
                <c:formatCode>0%</c:formatCode>
                <c:ptCount val="14"/>
                <c:pt idx="0">
                  <c:v>0</c:v>
                </c:pt>
                <c:pt idx="1">
                  <c:v>-2.3622047244094488E-2</c:v>
                </c:pt>
                <c:pt idx="2">
                  <c:v>0</c:v>
                </c:pt>
                <c:pt idx="3">
                  <c:v>-7.0866141732283464E-2</c:v>
                </c:pt>
                <c:pt idx="4">
                  <c:v>0</c:v>
                </c:pt>
                <c:pt idx="5">
                  <c:v>-0.10236220472440945</c:v>
                </c:pt>
                <c:pt idx="6">
                  <c:v>0</c:v>
                </c:pt>
                <c:pt idx="7">
                  <c:v>-0.15748031496062992</c:v>
                </c:pt>
                <c:pt idx="8">
                  <c:v>0</c:v>
                </c:pt>
                <c:pt idx="9">
                  <c:v>-2.3622047244094488E-2</c:v>
                </c:pt>
                <c:pt idx="10">
                  <c:v>0</c:v>
                </c:pt>
                <c:pt idx="11">
                  <c:v>-5.5118110236220472E-2</c:v>
                </c:pt>
                <c:pt idx="12">
                  <c:v>0</c:v>
                </c:pt>
                <c:pt idx="13">
                  <c:v>-3.937007874015748E-2</c:v>
                </c:pt>
              </c:numCache>
            </c:numRef>
          </c:val>
          <c:extLst>
            <c:ext xmlns:c16="http://schemas.microsoft.com/office/drawing/2014/chart" uri="{C3380CC4-5D6E-409C-BE32-E72D297353CC}">
              <c16:uniqueId val="{00000003-E136-D14D-9928-956D03DED5ED}"/>
            </c:ext>
          </c:extLst>
        </c:ser>
        <c:ser>
          <c:idx val="4"/>
          <c:order val="3"/>
          <c:tx>
            <c:strRef>
              <c:f>Charts!$F$279</c:f>
              <c:strCache>
                <c:ptCount val="1"/>
                <c:pt idx="0">
                  <c:v>Neutral</c:v>
                </c:pt>
              </c:strCache>
            </c:strRef>
          </c:tx>
          <c:spPr>
            <a:solidFill>
              <a:srgbClr val="E8E8E8"/>
            </a:solidFill>
            <a:ln>
              <a:noFill/>
            </a:ln>
            <a:effectLst/>
          </c:spPr>
          <c:invertIfNegative val="0"/>
          <c:dLbls>
            <c:dLbl>
              <c:idx val="0"/>
              <c:layout>
                <c:manualLayout>
                  <c:x val="4.2390081928118807E-2"/>
                  <c:y val="-1.2418720276485528E-2"/>
                </c:manualLayout>
              </c:layout>
              <c:tx>
                <c:rich>
                  <a:bodyPr rot="0" spcFirstLastPara="1" vertOverflow="ellipsis" vert="horz" wrap="square" lIns="38100" tIns="19050" rIns="38100" bIns="19050" anchor="ctr" anchorCtr="0">
                    <a:spAutoFit/>
                  </a:bodyPr>
                  <a:lstStyle/>
                  <a:p>
                    <a:pPr algn="l">
                      <a:defRPr sz="900" b="0" i="0" u="none" strike="noStrike" kern="1200" baseline="0">
                        <a:solidFill>
                          <a:schemeClr val="tx1"/>
                        </a:solidFill>
                        <a:latin typeface="+mn-lt"/>
                        <a:ea typeface="+mn-ea"/>
                        <a:cs typeface="+mn-cs"/>
                      </a:defRPr>
                    </a:pPr>
                    <a:r>
                      <a:rPr lang="en-US" sz="1000">
                        <a:solidFill>
                          <a:schemeClr val="tx1"/>
                        </a:solidFill>
                      </a:rPr>
                      <a:t>has improved my productivity in academic work </a:t>
                    </a:r>
                    <a:r>
                      <a:rPr lang="en-US" sz="1000">
                        <a:solidFill>
                          <a:schemeClr val="tx1"/>
                        </a:solidFill>
                        <a:effectLst/>
                      </a:rPr>
                      <a:t>(e.g., writing, coding,</a:t>
                    </a:r>
                    <a:r>
                      <a:rPr lang="en-US" sz="1000" baseline="0">
                        <a:solidFill>
                          <a:schemeClr val="tx1"/>
                        </a:solidFill>
                        <a:effectLst/>
                      </a:rPr>
                      <a:t> analysis).</a:t>
                    </a:r>
                    <a:endParaRPr lang="en-US" sz="1000">
                      <a:solidFill>
                        <a:schemeClr val="tx1"/>
                      </a:solidFill>
                      <a:effectLst/>
                    </a:endParaRPr>
                  </a:p>
                </c:rich>
              </c:tx>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86007665297173719"/>
                      <c:h val="7.753149237836035E-2"/>
                    </c:manualLayout>
                  </c15:layout>
                  <c15:showDataLabelsRange val="0"/>
                </c:ext>
                <c:ext xmlns:c16="http://schemas.microsoft.com/office/drawing/2014/chart" uri="{C3380CC4-5D6E-409C-BE32-E72D297353CC}">
                  <c16:uniqueId val="{0000001C-E136-D14D-9928-956D03DED5ED}"/>
                </c:ext>
              </c:extLst>
            </c:dLbl>
            <c:dLbl>
              <c:idx val="1"/>
              <c:layout>
                <c:manualLayout>
                  <c:x val="-2.1645999282443647E-2"/>
                  <c:y val="2.444870612557442E-7"/>
                </c:manualLayout>
              </c:layout>
              <c:tx>
                <c:rich>
                  <a:bodyPr/>
                  <a:lstStyle/>
                  <a:p>
                    <a:r>
                      <a:rPr lang="en-US"/>
                      <a:t>15%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136-D14D-9928-956D03DED5ED}"/>
                </c:ext>
              </c:extLst>
            </c:dLbl>
            <c:dLbl>
              <c:idx val="2"/>
              <c:layout>
                <c:manualLayout>
                  <c:x val="-6.8545593377346864E-2"/>
                  <c:y val="-9.3143458161907156E-3"/>
                </c:manualLayout>
              </c:layout>
              <c:tx>
                <c:rich>
                  <a:bodyPr rot="0" spcFirstLastPara="1" vertOverflow="ellipsis" vert="horz" wrap="square" lIns="38100" tIns="19050" rIns="38100" bIns="19050" anchor="ctr" anchorCtr="0">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900" b="0" i="0" u="none" strike="noStrike" kern="1200" baseline="0">
                        <a:solidFill>
                          <a:schemeClr val="tx1"/>
                        </a:solidFill>
                        <a:latin typeface="+mn-lt"/>
                        <a:ea typeface="+mn-ea"/>
                        <a:cs typeface="+mn-cs"/>
                      </a:defRPr>
                    </a:pPr>
                    <a:r>
                      <a:rPr lang="en-US" sz="1000" b="0" i="0" u="none" strike="noStrike">
                        <a:solidFill>
                          <a:schemeClr val="tx1"/>
                        </a:solidFill>
                        <a:effectLst/>
                      </a:rPr>
                      <a:t>has enhanced the quality of my research and/or teaching outputs</a:t>
                    </a:r>
                    <a:r>
                      <a:rPr lang="en-US" sz="900" b="0" i="0" u="none" strike="noStrike">
                        <a:solidFill>
                          <a:schemeClr val="tx1"/>
                        </a:solidFill>
                        <a:effectLst/>
                      </a:rPr>
                      <a:t>.</a:t>
                    </a:r>
                    <a:endParaRPr lang="en-US" sz="1000">
                      <a:solidFill>
                        <a:schemeClr val="tx1"/>
                      </a:solidFill>
                      <a:effectLst/>
                    </a:endParaRPr>
                  </a:p>
                </c:rich>
              </c:tx>
              <c:spPr>
                <a:noFill/>
                <a:ln>
                  <a:noFill/>
                </a:ln>
                <a:effectLst/>
              </c:spPr>
              <c:txPr>
                <a:bodyPr rot="0" spcFirstLastPara="1" vertOverflow="ellipsis" vert="horz" wrap="square" lIns="38100" tIns="19050" rIns="38100" bIns="19050" anchor="ctr" anchorCtr="0">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4616463856152375"/>
                      <c:h val="5.3545600259743045E-2"/>
                    </c:manualLayout>
                  </c15:layout>
                  <c15:showDataLabelsRange val="0"/>
                </c:ext>
                <c:ext xmlns:c16="http://schemas.microsoft.com/office/drawing/2014/chart" uri="{C3380CC4-5D6E-409C-BE32-E72D297353CC}">
                  <c16:uniqueId val="{0000001D-E136-D14D-9928-956D03DED5ED}"/>
                </c:ext>
              </c:extLst>
            </c:dLbl>
            <c:dLbl>
              <c:idx val="3"/>
              <c:layout>
                <c:manualLayout>
                  <c:x val="-5.2370159618073973E-2"/>
                  <c:y val="4.7784632754378639E-7"/>
                </c:manualLayout>
              </c:layout>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136-D14D-9928-956D03DED5ED}"/>
                </c:ext>
              </c:extLst>
            </c:dLbl>
            <c:dLbl>
              <c:idx val="4"/>
              <c:layout>
                <c:manualLayout>
                  <c:x val="4.2390081928118807E-2"/>
                  <c:y val="-9.3131233808844364E-3"/>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r>
                      <a:rPr lang="en-US" sz="1000">
                        <a:solidFill>
                          <a:schemeClr val="tx1"/>
                        </a:solidFill>
                      </a:rPr>
                      <a:t>increases my competitiveness in my academic career (e.g., grants, publications, teaching quality, visibility).</a:t>
                    </a: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80090197345041492"/>
                      <c:h val="6.1960111446981998E-2"/>
                    </c:manualLayout>
                  </c15:layout>
                  <c15:showDataLabelsRange val="0"/>
                </c:ext>
                <c:ext xmlns:c16="http://schemas.microsoft.com/office/drawing/2014/chart" uri="{C3380CC4-5D6E-409C-BE32-E72D297353CC}">
                  <c16:uniqueId val="{0000001F-E136-D14D-9928-956D03DED5ED}"/>
                </c:ext>
              </c:extLst>
            </c:dLbl>
            <c:dLbl>
              <c:idx val="5"/>
              <c:layout>
                <c:manualLayout>
                  <c:x val="-6.4558346855689772E-2"/>
                  <c:y val="2.3892316368845023E-7"/>
                </c:manualLayout>
              </c:layout>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B22-5F42-8607-CBB75F74C0DC}"/>
                </c:ext>
              </c:extLst>
            </c:dLbl>
            <c:dLbl>
              <c:idx val="6"/>
              <c:layout>
                <c:manualLayout>
                  <c:x val="-0.1280721624211249"/>
                  <c:y val="-9.3144680597212863E-3"/>
                </c:manualLayout>
              </c:layout>
              <c:tx>
                <c:rich>
                  <a:bodyPr rot="0" spcFirstLastPara="1" vertOverflow="ellipsis" vert="horz" wrap="square" lIns="38100" tIns="19050" rIns="38100" bIns="19050" anchor="ctr" anchorCtr="0">
                    <a:spAutoFit/>
                  </a:bodyPr>
                  <a:lstStyle/>
                  <a:p>
                    <a:pPr algn="l">
                      <a:defRPr sz="900" b="0" i="0" u="none" strike="noStrike" kern="1200" baseline="0">
                        <a:solidFill>
                          <a:schemeClr val="tx1"/>
                        </a:solidFill>
                        <a:latin typeface="+mn-lt"/>
                        <a:ea typeface="+mn-ea"/>
                        <a:cs typeface="+mn-cs"/>
                      </a:defRPr>
                    </a:pPr>
                    <a:r>
                      <a:rPr lang="en-US" sz="1000">
                        <a:solidFill>
                          <a:schemeClr val="tx1"/>
                        </a:solidFill>
                      </a:rPr>
                      <a:t>will reduce the value of my academic expertise.</a:t>
                    </a:r>
                  </a:p>
                </c:rich>
              </c:tx>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2832021080135363"/>
                      <c:h val="7.753149237836035E-2"/>
                    </c:manualLayout>
                  </c15:layout>
                  <c15:showDataLabelsRange val="0"/>
                </c:ext>
                <c:ext xmlns:c16="http://schemas.microsoft.com/office/drawing/2014/chart" uri="{C3380CC4-5D6E-409C-BE32-E72D297353CC}">
                  <c16:uniqueId val="{00000020-E136-D14D-9928-956D03DED5ED}"/>
                </c:ext>
              </c:extLst>
            </c:dLbl>
            <c:dLbl>
              <c:idx val="7"/>
              <c:layout>
                <c:manualLayout>
                  <c:x val="-2.6172302779333755E-2"/>
                  <c:y val="1.1125726799670556E-16"/>
                </c:manualLayout>
              </c:layout>
              <c:tx>
                <c:rich>
                  <a:bodyPr/>
                  <a:lstStyle/>
                  <a:p>
                    <a:r>
                      <a:rPr lang="en-US"/>
                      <a:t>19%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B22-5F42-8607-CBB75F74C0DC}"/>
                </c:ext>
              </c:extLst>
            </c:dLbl>
            <c:dLbl>
              <c:idx val="8"/>
              <c:layout>
                <c:manualLayout>
                  <c:x val="4.0130864261644993E-2"/>
                  <c:y val="-1.3970724141336993E-2"/>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r>
                      <a:rPr lang="en-US" sz="1000">
                        <a:solidFill>
                          <a:schemeClr val="tx1"/>
                        </a:solidFill>
                      </a:rPr>
                      <a:t>will intensify performance expectations from institutions, funders, or peers (e.g.,</a:t>
                    </a:r>
                    <a:r>
                      <a:rPr lang="en-US" sz="1000" baseline="0">
                        <a:solidFill>
                          <a:schemeClr val="tx1"/>
                        </a:solidFill>
                      </a:rPr>
                      <a:t> </a:t>
                    </a:r>
                    <a:r>
                      <a:rPr lang="en-US" sz="1000">
                        <a:solidFill>
                          <a:schemeClr val="tx1"/>
                        </a:solidFill>
                      </a:rPr>
                      <a:t>publish more and/or faster, design new courses faster).</a:t>
                    </a: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5889931796764993"/>
                      <c:h val="9.5975107305371191E-2"/>
                    </c:manualLayout>
                  </c15:layout>
                  <c15:showDataLabelsRange val="0"/>
                </c:ext>
                <c:ext xmlns:c16="http://schemas.microsoft.com/office/drawing/2014/chart" uri="{C3380CC4-5D6E-409C-BE32-E72D297353CC}">
                  <c16:uniqueId val="{00000021-E136-D14D-9928-956D03DED5ED}"/>
                </c:ext>
              </c:extLst>
            </c:dLbl>
            <c:dLbl>
              <c:idx val="9"/>
              <c:layout>
                <c:manualLayout>
                  <c:x val="-3.4896403705778317E-2"/>
                  <c:y val="0"/>
                </c:manualLayout>
              </c:layout>
              <c:tx>
                <c:rich>
                  <a:bodyPr/>
                  <a:lstStyle/>
                  <a:p>
                    <a:r>
                      <a:rPr lang="en-US"/>
                      <a:t>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B22-5F42-8607-CBB75F74C0DC}"/>
                </c:ext>
              </c:extLst>
            </c:dLbl>
            <c:dLbl>
              <c:idx val="10"/>
              <c:layout>
                <c:manualLayout>
                  <c:x val="4.0130864261644993E-2"/>
                  <c:y val="-1.5524194928555987E-2"/>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r>
                      <a:rPr lang="en-US" sz="1000">
                        <a:solidFill>
                          <a:schemeClr val="tx1"/>
                        </a:solidFill>
                      </a:rPr>
                      <a:t>allows me to save time and reduces cognitive load for focusing on creative and intellectually meaningful tasks.</a:t>
                    </a: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8412040523242722"/>
                      <c:h val="7.4519656270750842E-2"/>
                    </c:manualLayout>
                  </c15:layout>
                  <c15:showDataLabelsRange val="0"/>
                </c:ext>
                <c:ext xmlns:c16="http://schemas.microsoft.com/office/drawing/2014/chart" uri="{C3380CC4-5D6E-409C-BE32-E72D297353CC}">
                  <c16:uniqueId val="{00000022-E136-D14D-9928-956D03DED5ED}"/>
                </c:ext>
              </c:extLst>
            </c:dLbl>
            <c:dLbl>
              <c:idx val="11"/>
              <c:layout>
                <c:manualLayout>
                  <c:x val="-1.744820185288919E-2"/>
                  <c:y val="0"/>
                </c:manualLayout>
              </c:layout>
              <c:tx>
                <c:rich>
                  <a:bodyPr/>
                  <a:lstStyle/>
                  <a:p>
                    <a:r>
                      <a:rPr lang="en-US"/>
                      <a:t>13%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B22-5F42-8607-CBB75F74C0DC}"/>
                </c:ext>
              </c:extLst>
            </c:dLbl>
            <c:dLbl>
              <c:idx val="12"/>
              <c:layout>
                <c:manualLayout>
                  <c:x val="4.0130864261644993E-2"/>
                  <c:y val="-1.2418748205089843E-2"/>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r>
                      <a:rPr lang="en-US" sz="1000">
                        <a:solidFill>
                          <a:schemeClr val="tx1"/>
                        </a:solidFill>
                      </a:rPr>
                      <a:t>use makes me more dependent on tools (e.g., LLM) to perform academic work.</a:t>
                    </a: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79787137432891397"/>
                      <c:h val="5.8373730745421501E-2"/>
                    </c:manualLayout>
                  </c15:layout>
                  <c15:showDataLabelsRange val="0"/>
                </c:ext>
                <c:ext xmlns:c16="http://schemas.microsoft.com/office/drawing/2014/chart" uri="{C3380CC4-5D6E-409C-BE32-E72D297353CC}">
                  <c16:uniqueId val="{00000023-E136-D14D-9928-956D03DED5ED}"/>
                </c:ext>
              </c:extLst>
            </c:dLbl>
            <c:dLbl>
              <c:idx val="13"/>
              <c:layout>
                <c:manualLayout>
                  <c:x val="-3.1406763335200427E-2"/>
                  <c:y val="-1.1125726799670556E-16"/>
                </c:manualLayout>
              </c:layout>
              <c:tx>
                <c:rich>
                  <a:bodyPr/>
                  <a:lstStyle/>
                  <a:p>
                    <a:r>
                      <a:rPr lang="en-US"/>
                      <a:t>23%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B22-5F42-8607-CBB75F74C0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Charts!$F$280:$F$293</c:f>
              <c:numCache>
                <c:formatCode>0%</c:formatCode>
                <c:ptCount val="14"/>
                <c:pt idx="0">
                  <c:v>0</c:v>
                </c:pt>
                <c:pt idx="1">
                  <c:v>7.4803149606299205E-2</c:v>
                </c:pt>
                <c:pt idx="2">
                  <c:v>0</c:v>
                </c:pt>
                <c:pt idx="3">
                  <c:v>0.17322834645669291</c:v>
                </c:pt>
                <c:pt idx="4">
                  <c:v>0</c:v>
                </c:pt>
                <c:pt idx="5">
                  <c:v>0.22440944881889763</c:v>
                </c:pt>
                <c:pt idx="6">
                  <c:v>0</c:v>
                </c:pt>
                <c:pt idx="7">
                  <c:v>9.4488188976377951E-2</c:v>
                </c:pt>
                <c:pt idx="8">
                  <c:v>0</c:v>
                </c:pt>
                <c:pt idx="9">
                  <c:v>0.11023622047244094</c:v>
                </c:pt>
                <c:pt idx="10">
                  <c:v>0</c:v>
                </c:pt>
                <c:pt idx="11">
                  <c:v>6.2992125984251968E-2</c:v>
                </c:pt>
                <c:pt idx="12">
                  <c:v>0</c:v>
                </c:pt>
                <c:pt idx="13">
                  <c:v>0.1141732283464567</c:v>
                </c:pt>
              </c:numCache>
            </c:numRef>
          </c:val>
          <c:extLst>
            <c:ext xmlns:c16="http://schemas.microsoft.com/office/drawing/2014/chart" uri="{C3380CC4-5D6E-409C-BE32-E72D297353CC}">
              <c16:uniqueId val="{00000004-E136-D14D-9928-956D03DED5ED}"/>
            </c:ext>
          </c:extLst>
        </c:ser>
        <c:ser>
          <c:idx val="5"/>
          <c:order val="4"/>
          <c:tx>
            <c:strRef>
              <c:f>Charts!$G$279</c:f>
              <c:strCache>
                <c:ptCount val="1"/>
                <c:pt idx="0">
                  <c:v>Somewhat agree</c:v>
                </c:pt>
              </c:strCache>
            </c:strRef>
          </c:tx>
          <c:spPr>
            <a:solidFill>
              <a:srgbClr val="156082">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Charts!$G$280:$G$293</c:f>
              <c:numCache>
                <c:formatCode>0%</c:formatCode>
                <c:ptCount val="14"/>
                <c:pt idx="0">
                  <c:v>0</c:v>
                </c:pt>
                <c:pt idx="1">
                  <c:v>0.44881889763779526</c:v>
                </c:pt>
                <c:pt idx="2">
                  <c:v>0</c:v>
                </c:pt>
                <c:pt idx="3">
                  <c:v>0.33858267716535434</c:v>
                </c:pt>
                <c:pt idx="4">
                  <c:v>0</c:v>
                </c:pt>
                <c:pt idx="5">
                  <c:v>0.23622047244094488</c:v>
                </c:pt>
                <c:pt idx="6">
                  <c:v>0</c:v>
                </c:pt>
                <c:pt idx="7">
                  <c:v>0.25984251968503935</c:v>
                </c:pt>
                <c:pt idx="8">
                  <c:v>0</c:v>
                </c:pt>
                <c:pt idx="9">
                  <c:v>0.38582677165354329</c:v>
                </c:pt>
                <c:pt idx="10">
                  <c:v>0</c:v>
                </c:pt>
                <c:pt idx="11">
                  <c:v>0.43307086614173229</c:v>
                </c:pt>
                <c:pt idx="12">
                  <c:v>0</c:v>
                </c:pt>
                <c:pt idx="13">
                  <c:v>0.40944881889763779</c:v>
                </c:pt>
              </c:numCache>
            </c:numRef>
          </c:val>
          <c:extLst>
            <c:ext xmlns:c16="http://schemas.microsoft.com/office/drawing/2014/chart" uri="{C3380CC4-5D6E-409C-BE32-E72D297353CC}">
              <c16:uniqueId val="{00000005-E136-D14D-9928-956D03DED5ED}"/>
            </c:ext>
          </c:extLst>
        </c:ser>
        <c:ser>
          <c:idx val="6"/>
          <c:order val="5"/>
          <c:tx>
            <c:strRef>
              <c:f>Charts!$H$279</c:f>
              <c:strCache>
                <c:ptCount val="1"/>
                <c:pt idx="0">
                  <c:v>Strongly agree</c:v>
                </c:pt>
              </c:strCache>
            </c:strRef>
          </c:tx>
          <c:spPr>
            <a:solidFill>
              <a:srgbClr val="156082">
                <a:lumMod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Charts!$H$280:$H$293</c:f>
              <c:numCache>
                <c:formatCode>0%</c:formatCode>
                <c:ptCount val="14"/>
                <c:pt idx="0">
                  <c:v>0</c:v>
                </c:pt>
                <c:pt idx="1">
                  <c:v>0.29921259842519687</c:v>
                </c:pt>
                <c:pt idx="2">
                  <c:v>0</c:v>
                </c:pt>
                <c:pt idx="3">
                  <c:v>0.11023622047244094</c:v>
                </c:pt>
                <c:pt idx="4">
                  <c:v>0</c:v>
                </c:pt>
                <c:pt idx="5">
                  <c:v>7.0866141732283464E-2</c:v>
                </c:pt>
                <c:pt idx="6">
                  <c:v>0</c:v>
                </c:pt>
                <c:pt idx="7">
                  <c:v>7.874015748031496E-2</c:v>
                </c:pt>
                <c:pt idx="8">
                  <c:v>0</c:v>
                </c:pt>
                <c:pt idx="9">
                  <c:v>0.27559055118110237</c:v>
                </c:pt>
                <c:pt idx="10">
                  <c:v>0</c:v>
                </c:pt>
                <c:pt idx="11">
                  <c:v>0.18110236220472442</c:v>
                </c:pt>
                <c:pt idx="12">
                  <c:v>0</c:v>
                </c:pt>
                <c:pt idx="13">
                  <c:v>0.14173228346456693</c:v>
                </c:pt>
              </c:numCache>
            </c:numRef>
          </c:val>
          <c:extLst>
            <c:ext xmlns:c16="http://schemas.microsoft.com/office/drawing/2014/chart" uri="{C3380CC4-5D6E-409C-BE32-E72D297353CC}">
              <c16:uniqueId val="{00000006-E136-D14D-9928-956D03DED5ED}"/>
            </c:ext>
          </c:extLst>
        </c:ser>
        <c:dLbls>
          <c:showLegendKey val="0"/>
          <c:showVal val="1"/>
          <c:showCatName val="0"/>
          <c:showSerName val="0"/>
          <c:showPercent val="0"/>
          <c:showBubbleSize val="0"/>
        </c:dLbls>
        <c:gapWidth val="50"/>
        <c:overlap val="100"/>
        <c:axId val="975742144"/>
        <c:axId val="975734976"/>
      </c:barChart>
      <c:catAx>
        <c:axId val="975742144"/>
        <c:scaling>
          <c:orientation val="maxMin"/>
        </c:scaling>
        <c:delete val="1"/>
        <c:axPos val="l"/>
        <c:numFmt formatCode="0%" sourceLinked="1"/>
        <c:majorTickMark val="none"/>
        <c:minorTickMark val="none"/>
        <c:tickLblPos val="nextTo"/>
        <c:crossAx val="975734976"/>
        <c:crossesAt val="0"/>
        <c:auto val="1"/>
        <c:lblAlgn val="ctr"/>
        <c:lblOffset val="100"/>
        <c:noMultiLvlLbl val="0"/>
      </c:catAx>
      <c:valAx>
        <c:axId val="975734976"/>
        <c:scaling>
          <c:orientation val="minMax"/>
        </c:scaling>
        <c:delete val="0"/>
        <c:axPos val="t"/>
        <c:numFmt formatCode="0%" sourceLinked="1"/>
        <c:majorTickMark val="none"/>
        <c:minorTickMark val="none"/>
        <c:tickLblPos val="high"/>
        <c:spPr>
          <a:noFill/>
          <a:ln>
            <a:noFill/>
          </a:ln>
          <a:effectLst/>
        </c:spPr>
        <c:txPr>
          <a:bodyPr rot="0" spcFirstLastPara="1" vertOverflow="ellipsis" wrap="square" anchor="ctr" anchorCtr="0"/>
          <a:lstStyle/>
          <a:p>
            <a:pPr>
              <a:defRPr sz="900" b="0" i="0" u="none" strike="noStrike" kern="1200" baseline="0">
                <a:solidFill>
                  <a:schemeClr val="tx1"/>
                </a:solidFill>
                <a:latin typeface="+mn-lt"/>
                <a:ea typeface="+mn-ea"/>
                <a:cs typeface="+mn-cs"/>
              </a:defRPr>
            </a:pPr>
            <a:endParaRPr lang="en-US"/>
          </a:p>
        </c:txPr>
        <c:crossAx val="975742144"/>
        <c:crosses val="autoZero"/>
        <c:crossBetween val="between"/>
      </c:val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percentStacked"/>
        <c:varyColors val="0"/>
        <c:ser>
          <c:idx val="0"/>
          <c:order val="0"/>
          <c:tx>
            <c:strRef>
              <c:f>Charts!$E$327</c:f>
              <c:strCache>
                <c:ptCount val="1"/>
                <c:pt idx="0">
                  <c:v>Neutral</c:v>
                </c:pt>
              </c:strCache>
            </c:strRef>
          </c:tx>
          <c:spPr>
            <a:solidFill>
              <a:srgbClr val="E8E8E8"/>
            </a:solidFill>
            <a:ln>
              <a:noFill/>
            </a:ln>
            <a:effectLst/>
          </c:spPr>
          <c:invertIfNegative val="0"/>
          <c:dLbls>
            <c:delete val="1"/>
          </c:dLbls>
          <c:val>
            <c:numRef>
              <c:f>Charts!$E$328</c:f>
              <c:numCache>
                <c:formatCode>0%</c:formatCode>
                <c:ptCount val="1"/>
                <c:pt idx="0">
                  <c:v>-6.2992125984251968E-2</c:v>
                </c:pt>
              </c:numCache>
            </c:numRef>
          </c:val>
          <c:extLst>
            <c:ext xmlns:c16="http://schemas.microsoft.com/office/drawing/2014/chart" uri="{C3380CC4-5D6E-409C-BE32-E72D297353CC}">
              <c16:uniqueId val="{00000000-E136-D14D-9928-956D03DED5ED}"/>
            </c:ext>
          </c:extLst>
        </c:ser>
        <c:ser>
          <c:idx val="1"/>
          <c:order val="1"/>
          <c:tx>
            <c:strRef>
              <c:f>Charts!$D$327</c:f>
              <c:strCache>
                <c:ptCount val="1"/>
                <c:pt idx="0">
                  <c:v>Somewhat disagree</c:v>
                </c:pt>
              </c:strCache>
            </c:strRef>
          </c:tx>
          <c:spPr>
            <a:solidFill>
              <a:srgbClr val="D57777"/>
            </a:solidFill>
            <a:ln>
              <a:noFill/>
            </a:ln>
            <a:effectLst/>
          </c:spPr>
          <c:invertIfNegative val="0"/>
          <c:dLbls>
            <c:delete val="1"/>
          </c:dLbls>
          <c:val>
            <c:numRef>
              <c:f>Charts!$D$328</c:f>
              <c:numCache>
                <c:formatCode>0%</c:formatCode>
                <c:ptCount val="1"/>
                <c:pt idx="0">
                  <c:v>-0.133858267716535</c:v>
                </c:pt>
              </c:numCache>
            </c:numRef>
          </c:val>
          <c:extLst>
            <c:ext xmlns:c16="http://schemas.microsoft.com/office/drawing/2014/chart" uri="{C3380CC4-5D6E-409C-BE32-E72D297353CC}">
              <c16:uniqueId val="{00000001-E136-D14D-9928-956D03DED5ED}"/>
            </c:ext>
          </c:extLst>
        </c:ser>
        <c:ser>
          <c:idx val="3"/>
          <c:order val="2"/>
          <c:tx>
            <c:strRef>
              <c:f>Charts!$C$327</c:f>
              <c:strCache>
                <c:ptCount val="1"/>
                <c:pt idx="0">
                  <c:v>Strongly disagree</c:v>
                </c:pt>
              </c:strCache>
            </c:strRef>
          </c:tx>
          <c:spPr>
            <a:solidFill>
              <a:srgbClr val="C00000"/>
            </a:solidFill>
            <a:ln>
              <a:noFill/>
            </a:ln>
            <a:effectLst/>
          </c:spPr>
          <c:invertIfNegative val="0"/>
          <c:dLbls>
            <c:delete val="1"/>
          </c:dLbls>
          <c:val>
            <c:numRef>
              <c:f>Charts!$C$328</c:f>
              <c:numCache>
                <c:formatCode>0%</c:formatCode>
                <c:ptCount val="1"/>
                <c:pt idx="0">
                  <c:v>-3.1496062992125998E-2</c:v>
                </c:pt>
              </c:numCache>
            </c:numRef>
          </c:val>
          <c:extLst>
            <c:ext xmlns:c16="http://schemas.microsoft.com/office/drawing/2014/chart" uri="{C3380CC4-5D6E-409C-BE32-E72D297353CC}">
              <c16:uniqueId val="{00000003-E136-D14D-9928-956D03DED5ED}"/>
            </c:ext>
          </c:extLst>
        </c:ser>
        <c:ser>
          <c:idx val="4"/>
          <c:order val="3"/>
          <c:tx>
            <c:strRef>
              <c:f>Charts!$F$327</c:f>
              <c:strCache>
                <c:ptCount val="1"/>
                <c:pt idx="0">
                  <c:v>Neutral</c:v>
                </c:pt>
              </c:strCache>
            </c:strRef>
          </c:tx>
          <c:spPr>
            <a:solidFill>
              <a:srgbClr val="E8E8E8"/>
            </a:solidFill>
            <a:ln>
              <a:noFill/>
            </a:ln>
            <a:effectLst/>
          </c:spPr>
          <c:invertIfNegative val="0"/>
          <c:dLbls>
            <c:dLbl>
              <c:idx val="0"/>
              <c:layout>
                <c:manualLayout>
                  <c:x val="-2.7061302373119957E-2"/>
                  <c:y val="8.2914636829060206E-3"/>
                </c:manualLayout>
              </c:layout>
              <c:tx>
                <c:rich>
                  <a:bodyPr/>
                  <a:lstStyle/>
                  <a:p>
                    <a:r>
                      <a:rPr lang="en-US"/>
                      <a:t>13%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136-D14D-9928-956D03DED5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Charts!$F$328</c:f>
              <c:numCache>
                <c:formatCode>0%</c:formatCode>
                <c:ptCount val="1"/>
                <c:pt idx="0">
                  <c:v>0.06</c:v>
                </c:pt>
              </c:numCache>
            </c:numRef>
          </c:val>
          <c:extLst>
            <c:ext xmlns:c16="http://schemas.microsoft.com/office/drawing/2014/chart" uri="{C3380CC4-5D6E-409C-BE32-E72D297353CC}">
              <c16:uniqueId val="{00000004-E136-D14D-9928-956D03DED5ED}"/>
            </c:ext>
          </c:extLst>
        </c:ser>
        <c:ser>
          <c:idx val="5"/>
          <c:order val="4"/>
          <c:tx>
            <c:strRef>
              <c:f>Charts!$G$327</c:f>
              <c:strCache>
                <c:ptCount val="1"/>
                <c:pt idx="0">
                  <c:v>Somewhat agree</c:v>
                </c:pt>
              </c:strCache>
            </c:strRef>
          </c:tx>
          <c:spPr>
            <a:solidFill>
              <a:srgbClr val="156082">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Charts!$G$328</c:f>
              <c:numCache>
                <c:formatCode>0%</c:formatCode>
                <c:ptCount val="1"/>
                <c:pt idx="0">
                  <c:v>0.44094488188976377</c:v>
                </c:pt>
              </c:numCache>
            </c:numRef>
          </c:val>
          <c:extLst>
            <c:ext xmlns:c16="http://schemas.microsoft.com/office/drawing/2014/chart" uri="{C3380CC4-5D6E-409C-BE32-E72D297353CC}">
              <c16:uniqueId val="{00000005-E136-D14D-9928-956D03DED5ED}"/>
            </c:ext>
          </c:extLst>
        </c:ser>
        <c:ser>
          <c:idx val="6"/>
          <c:order val="5"/>
          <c:tx>
            <c:strRef>
              <c:f>Charts!$H$327</c:f>
              <c:strCache>
                <c:ptCount val="1"/>
                <c:pt idx="0">
                  <c:v>Strongly agree</c:v>
                </c:pt>
              </c:strCache>
            </c:strRef>
          </c:tx>
          <c:spPr>
            <a:solidFill>
              <a:srgbClr val="156082">
                <a:lumMod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Charts!$H$328</c:f>
              <c:numCache>
                <c:formatCode>0%</c:formatCode>
                <c:ptCount val="1"/>
                <c:pt idx="0">
                  <c:v>0.25984251968503935</c:v>
                </c:pt>
              </c:numCache>
            </c:numRef>
          </c:val>
          <c:extLst>
            <c:ext xmlns:c16="http://schemas.microsoft.com/office/drawing/2014/chart" uri="{C3380CC4-5D6E-409C-BE32-E72D297353CC}">
              <c16:uniqueId val="{00000006-E136-D14D-9928-956D03DED5ED}"/>
            </c:ext>
          </c:extLst>
        </c:ser>
        <c:dLbls>
          <c:showLegendKey val="0"/>
          <c:showVal val="1"/>
          <c:showCatName val="0"/>
          <c:showSerName val="0"/>
          <c:showPercent val="0"/>
          <c:showBubbleSize val="0"/>
        </c:dLbls>
        <c:gapWidth val="200"/>
        <c:overlap val="100"/>
        <c:axId val="975742144"/>
        <c:axId val="975734976"/>
      </c:barChart>
      <c:catAx>
        <c:axId val="975742144"/>
        <c:scaling>
          <c:orientation val="maxMin"/>
        </c:scaling>
        <c:delete val="1"/>
        <c:axPos val="l"/>
        <c:numFmt formatCode="0%" sourceLinked="1"/>
        <c:majorTickMark val="none"/>
        <c:minorTickMark val="none"/>
        <c:tickLblPos val="nextTo"/>
        <c:crossAx val="975734976"/>
        <c:crossesAt val="0"/>
        <c:auto val="1"/>
        <c:lblAlgn val="ctr"/>
        <c:lblOffset val="100"/>
        <c:noMultiLvlLbl val="0"/>
      </c:catAx>
      <c:valAx>
        <c:axId val="975734976"/>
        <c:scaling>
          <c:orientation val="minMax"/>
        </c:scaling>
        <c:delete val="0"/>
        <c:axPos val="t"/>
        <c:numFmt formatCode="0%" sourceLinked="1"/>
        <c:majorTickMark val="none"/>
        <c:minorTickMark val="none"/>
        <c:tickLblPos val="high"/>
        <c:spPr>
          <a:noFill/>
          <a:ln>
            <a:noFill/>
          </a:ln>
          <a:effectLst/>
        </c:spPr>
        <c:txPr>
          <a:bodyPr rot="0" spcFirstLastPara="1" vertOverflow="ellipsis" wrap="square" anchor="ctr" anchorCtr="0"/>
          <a:lstStyle/>
          <a:p>
            <a:pPr>
              <a:defRPr sz="900" b="0" i="0" u="none" strike="noStrike" kern="1200" baseline="0">
                <a:solidFill>
                  <a:schemeClr val="tx1"/>
                </a:solidFill>
                <a:latin typeface="+mn-lt"/>
                <a:ea typeface="+mn-ea"/>
                <a:cs typeface="+mn-cs"/>
              </a:defRPr>
            </a:pPr>
            <a:endParaRPr lang="en-US"/>
          </a:p>
        </c:txPr>
        <c:crossAx val="975742144"/>
        <c:crosses val="autoZero"/>
        <c:crossBetween val="between"/>
      </c:val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bar"/>
        <c:grouping val="percentStacked"/>
        <c:varyColors val="0"/>
        <c:ser>
          <c:idx val="0"/>
          <c:order val="0"/>
          <c:tx>
            <c:strRef>
              <c:f>Charts!$E$376</c:f>
              <c:strCache>
                <c:ptCount val="1"/>
                <c:pt idx="0">
                  <c:v>Neutral</c:v>
                </c:pt>
              </c:strCache>
            </c:strRef>
          </c:tx>
          <c:spPr>
            <a:solidFill>
              <a:srgbClr val="E8E8E8"/>
            </a:solidFill>
            <a:ln>
              <a:noFill/>
            </a:ln>
            <a:effectLst/>
          </c:spPr>
          <c:invertIfNegative val="0"/>
          <c:dLbls>
            <c:delete val="1"/>
          </c:dLbls>
          <c:cat>
            <c:strRef>
              <c:f>Charts!$B$377:$B$400</c:f>
              <c:strCache>
                <c:ptCount val="23"/>
                <c:pt idx="0">
                  <c:v>a. reduces my sense of professional self-value.</c:v>
                </c:pt>
                <c:pt idx="2">
                  <c:v>b.helps reduce my work-related stress.</c:v>
                </c:pt>
                <c:pt idx="4">
                  <c:v>c. contributes to work intensification or feelings associated with burnout.</c:v>
                </c:pt>
                <c:pt idx="6">
                  <c:v>d. makes me anxious to keep up with its developments.</c:v>
                </c:pt>
                <c:pt idx="8">
                  <c:v>e. contributes to my social isolation.</c:v>
                </c:pt>
                <c:pt idx="10">
                  <c:v>f. reduces constructive human interaction in my academic work.</c:v>
                </c:pt>
                <c:pt idx="12">
                  <c:v>g. is contributing to my trust issues towards my collaborators, regarding their ethical use of GenAI.</c:v>
                </c:pt>
                <c:pt idx="14">
                  <c:v>h.lowers my emotional reward by reducing my healthy cognitive challenges.</c:v>
                </c:pt>
                <c:pt idx="16">
                  <c:v>i. causes inequalities among academics (e.g., skills).</c:v>
                </c:pt>
                <c:pt idx="18">
                  <c:v>j. increases competition rather than collaboration in academia.</c:v>
                </c:pt>
                <c:pt idx="20">
                  <c:v>k. I feel comfortable discussing GenAI use openly with colleagues.</c:v>
                </c:pt>
                <c:pt idx="22">
                  <c:v>l. I feel pressure to use GenAI even when I am uncomfortable doing so.</c:v>
                </c:pt>
              </c:strCache>
            </c:strRef>
          </c:cat>
          <c:val>
            <c:numRef>
              <c:f>Charts!$E$377:$E$400</c:f>
              <c:numCache>
                <c:formatCode>0%</c:formatCode>
                <c:ptCount val="24"/>
                <c:pt idx="0">
                  <c:v>0</c:v>
                </c:pt>
                <c:pt idx="1">
                  <c:v>-0.09</c:v>
                </c:pt>
                <c:pt idx="2">
                  <c:v>0</c:v>
                </c:pt>
                <c:pt idx="3">
                  <c:v>-0.11</c:v>
                </c:pt>
                <c:pt idx="4">
                  <c:v>0</c:v>
                </c:pt>
                <c:pt idx="5">
                  <c:v>-0.13500000000000001</c:v>
                </c:pt>
                <c:pt idx="6">
                  <c:v>0</c:v>
                </c:pt>
                <c:pt idx="7">
                  <c:v>-0.09</c:v>
                </c:pt>
                <c:pt idx="8">
                  <c:v>0</c:v>
                </c:pt>
                <c:pt idx="9">
                  <c:v>-0.105</c:v>
                </c:pt>
                <c:pt idx="10">
                  <c:v>0</c:v>
                </c:pt>
                <c:pt idx="11">
                  <c:v>-8.5000000000000006E-2</c:v>
                </c:pt>
                <c:pt idx="12">
                  <c:v>0</c:v>
                </c:pt>
                <c:pt idx="13">
                  <c:v>-0.1</c:v>
                </c:pt>
                <c:pt idx="14">
                  <c:v>0</c:v>
                </c:pt>
                <c:pt idx="15">
                  <c:v>-0.14000000000000001</c:v>
                </c:pt>
                <c:pt idx="16">
                  <c:v>0</c:v>
                </c:pt>
                <c:pt idx="17">
                  <c:v>-0.13</c:v>
                </c:pt>
                <c:pt idx="18">
                  <c:v>0</c:v>
                </c:pt>
                <c:pt idx="19">
                  <c:v>-0.14000000000000001</c:v>
                </c:pt>
                <c:pt idx="20">
                  <c:v>0</c:v>
                </c:pt>
                <c:pt idx="21">
                  <c:v>-0.04</c:v>
                </c:pt>
                <c:pt idx="22">
                  <c:v>0</c:v>
                </c:pt>
                <c:pt idx="23">
                  <c:v>-8.5000000000000006E-2</c:v>
                </c:pt>
              </c:numCache>
            </c:numRef>
          </c:val>
          <c:extLst>
            <c:ext xmlns:c16="http://schemas.microsoft.com/office/drawing/2014/chart" uri="{C3380CC4-5D6E-409C-BE32-E72D297353CC}">
              <c16:uniqueId val="{00000000-E136-D14D-9928-956D03DED5ED}"/>
            </c:ext>
          </c:extLst>
        </c:ser>
        <c:ser>
          <c:idx val="1"/>
          <c:order val="1"/>
          <c:tx>
            <c:strRef>
              <c:f>Charts!$D$376</c:f>
              <c:strCache>
                <c:ptCount val="1"/>
                <c:pt idx="0">
                  <c:v>Somewhat disagree</c:v>
                </c:pt>
              </c:strCache>
            </c:strRef>
          </c:tx>
          <c:spPr>
            <a:solidFill>
              <a:srgbClr val="D57777"/>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Charts!$B$377:$B$400</c:f>
              <c:strCache>
                <c:ptCount val="23"/>
                <c:pt idx="0">
                  <c:v>a. reduces my sense of professional self-value.</c:v>
                </c:pt>
                <c:pt idx="2">
                  <c:v>b.helps reduce my work-related stress.</c:v>
                </c:pt>
                <c:pt idx="4">
                  <c:v>c. contributes to work intensification or feelings associated with burnout.</c:v>
                </c:pt>
                <c:pt idx="6">
                  <c:v>d. makes me anxious to keep up with its developments.</c:v>
                </c:pt>
                <c:pt idx="8">
                  <c:v>e. contributes to my social isolation.</c:v>
                </c:pt>
                <c:pt idx="10">
                  <c:v>f. reduces constructive human interaction in my academic work.</c:v>
                </c:pt>
                <c:pt idx="12">
                  <c:v>g. is contributing to my trust issues towards my collaborators, regarding their ethical use of GenAI.</c:v>
                </c:pt>
                <c:pt idx="14">
                  <c:v>h.lowers my emotional reward by reducing my healthy cognitive challenges.</c:v>
                </c:pt>
                <c:pt idx="16">
                  <c:v>i. causes inequalities among academics (e.g., skills).</c:v>
                </c:pt>
                <c:pt idx="18">
                  <c:v>j. increases competition rather than collaboration in academia.</c:v>
                </c:pt>
                <c:pt idx="20">
                  <c:v>k. I feel comfortable discussing GenAI use openly with colleagues.</c:v>
                </c:pt>
                <c:pt idx="22">
                  <c:v>l. I feel pressure to use GenAI even when I am uncomfortable doing so.</c:v>
                </c:pt>
              </c:strCache>
            </c:strRef>
          </c:cat>
          <c:val>
            <c:numRef>
              <c:f>Charts!$D$377:$D$400</c:f>
              <c:numCache>
                <c:formatCode>0%</c:formatCode>
                <c:ptCount val="24"/>
                <c:pt idx="0">
                  <c:v>0</c:v>
                </c:pt>
                <c:pt idx="1">
                  <c:v>-0.2205</c:v>
                </c:pt>
                <c:pt idx="2">
                  <c:v>0</c:v>
                </c:pt>
                <c:pt idx="3">
                  <c:v>-0.24410000000000001</c:v>
                </c:pt>
                <c:pt idx="4">
                  <c:v>0</c:v>
                </c:pt>
                <c:pt idx="5">
                  <c:v>-0.23619999999999999</c:v>
                </c:pt>
                <c:pt idx="6">
                  <c:v>0</c:v>
                </c:pt>
                <c:pt idx="7">
                  <c:v>-7.0900000000000005E-2</c:v>
                </c:pt>
                <c:pt idx="8">
                  <c:v>0</c:v>
                </c:pt>
                <c:pt idx="9">
                  <c:v>-0.252</c:v>
                </c:pt>
                <c:pt idx="10">
                  <c:v>0</c:v>
                </c:pt>
                <c:pt idx="11">
                  <c:v>-0.24410000000000001</c:v>
                </c:pt>
                <c:pt idx="12">
                  <c:v>0</c:v>
                </c:pt>
                <c:pt idx="13">
                  <c:v>-0.1024</c:v>
                </c:pt>
                <c:pt idx="14">
                  <c:v>0</c:v>
                </c:pt>
                <c:pt idx="15">
                  <c:v>-0.27560000000000001</c:v>
                </c:pt>
                <c:pt idx="16">
                  <c:v>0</c:v>
                </c:pt>
                <c:pt idx="17">
                  <c:v>-0.11020000000000001</c:v>
                </c:pt>
                <c:pt idx="18">
                  <c:v>0</c:v>
                </c:pt>
                <c:pt idx="19">
                  <c:v>-0.126</c:v>
                </c:pt>
                <c:pt idx="20">
                  <c:v>0</c:v>
                </c:pt>
                <c:pt idx="21">
                  <c:v>-3.9399999999999998E-2</c:v>
                </c:pt>
                <c:pt idx="22">
                  <c:v>0</c:v>
                </c:pt>
                <c:pt idx="23">
                  <c:v>-0.267716535433071</c:v>
                </c:pt>
              </c:numCache>
            </c:numRef>
          </c:val>
          <c:extLst>
            <c:ext xmlns:c16="http://schemas.microsoft.com/office/drawing/2014/chart" uri="{C3380CC4-5D6E-409C-BE32-E72D297353CC}">
              <c16:uniqueId val="{00000001-E136-D14D-9928-956D03DED5ED}"/>
            </c:ext>
          </c:extLst>
        </c:ser>
        <c:ser>
          <c:idx val="3"/>
          <c:order val="2"/>
          <c:tx>
            <c:strRef>
              <c:f>Charts!$C$376</c:f>
              <c:strCache>
                <c:ptCount val="1"/>
                <c:pt idx="0">
                  <c:v>Strongly disagree</c:v>
                </c:pt>
              </c:strCache>
            </c:strRef>
          </c:tx>
          <c:spPr>
            <a:solidFill>
              <a:srgbClr val="C0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Charts!$B$377:$B$400</c:f>
              <c:strCache>
                <c:ptCount val="23"/>
                <c:pt idx="0">
                  <c:v>a. reduces my sense of professional self-value.</c:v>
                </c:pt>
                <c:pt idx="2">
                  <c:v>b.helps reduce my work-related stress.</c:v>
                </c:pt>
                <c:pt idx="4">
                  <c:v>c. contributes to work intensification or feelings associated with burnout.</c:v>
                </c:pt>
                <c:pt idx="6">
                  <c:v>d. makes me anxious to keep up with its developments.</c:v>
                </c:pt>
                <c:pt idx="8">
                  <c:v>e. contributes to my social isolation.</c:v>
                </c:pt>
                <c:pt idx="10">
                  <c:v>f. reduces constructive human interaction in my academic work.</c:v>
                </c:pt>
                <c:pt idx="12">
                  <c:v>g. is contributing to my trust issues towards my collaborators, regarding their ethical use of GenAI.</c:v>
                </c:pt>
                <c:pt idx="14">
                  <c:v>h.lowers my emotional reward by reducing my healthy cognitive challenges.</c:v>
                </c:pt>
                <c:pt idx="16">
                  <c:v>i. causes inequalities among academics (e.g., skills).</c:v>
                </c:pt>
                <c:pt idx="18">
                  <c:v>j. increases competition rather than collaboration in academia.</c:v>
                </c:pt>
                <c:pt idx="20">
                  <c:v>k. I feel comfortable discussing GenAI use openly with colleagues.</c:v>
                </c:pt>
                <c:pt idx="22">
                  <c:v>l. I feel pressure to use GenAI even when I am uncomfortable doing so.</c:v>
                </c:pt>
              </c:strCache>
            </c:strRef>
          </c:cat>
          <c:val>
            <c:numRef>
              <c:f>Charts!$C$377:$C$400</c:f>
              <c:numCache>
                <c:formatCode>0%</c:formatCode>
                <c:ptCount val="24"/>
                <c:pt idx="0">
                  <c:v>0</c:v>
                </c:pt>
                <c:pt idx="1">
                  <c:v>-0.18897637795275599</c:v>
                </c:pt>
                <c:pt idx="2">
                  <c:v>0</c:v>
                </c:pt>
                <c:pt idx="3">
                  <c:v>-0.2205</c:v>
                </c:pt>
                <c:pt idx="4">
                  <c:v>0</c:v>
                </c:pt>
                <c:pt idx="5">
                  <c:v>-0.1024</c:v>
                </c:pt>
                <c:pt idx="6">
                  <c:v>0</c:v>
                </c:pt>
                <c:pt idx="7">
                  <c:v>-0.126</c:v>
                </c:pt>
                <c:pt idx="8">
                  <c:v>0</c:v>
                </c:pt>
                <c:pt idx="9">
                  <c:v>-0.315</c:v>
                </c:pt>
                <c:pt idx="10">
                  <c:v>0</c:v>
                </c:pt>
                <c:pt idx="11">
                  <c:v>-0.23619999999999999</c:v>
                </c:pt>
                <c:pt idx="12">
                  <c:v>0</c:v>
                </c:pt>
                <c:pt idx="13">
                  <c:v>-7.8700000000000006E-2</c:v>
                </c:pt>
                <c:pt idx="14">
                  <c:v>0</c:v>
                </c:pt>
                <c:pt idx="15">
                  <c:v>-0.14169999999999999</c:v>
                </c:pt>
                <c:pt idx="16">
                  <c:v>0</c:v>
                </c:pt>
                <c:pt idx="17">
                  <c:v>-9.4500000000000001E-2</c:v>
                </c:pt>
                <c:pt idx="18">
                  <c:v>0</c:v>
                </c:pt>
                <c:pt idx="19">
                  <c:v>-6.3E-2</c:v>
                </c:pt>
                <c:pt idx="20">
                  <c:v>0</c:v>
                </c:pt>
                <c:pt idx="21">
                  <c:v>-2.3599999999999999E-2</c:v>
                </c:pt>
                <c:pt idx="22">
                  <c:v>0</c:v>
                </c:pt>
                <c:pt idx="23">
                  <c:v>-0.252</c:v>
                </c:pt>
              </c:numCache>
            </c:numRef>
          </c:val>
          <c:extLst>
            <c:ext xmlns:c16="http://schemas.microsoft.com/office/drawing/2014/chart" uri="{C3380CC4-5D6E-409C-BE32-E72D297353CC}">
              <c16:uniqueId val="{00000003-E136-D14D-9928-956D03DED5ED}"/>
            </c:ext>
          </c:extLst>
        </c:ser>
        <c:ser>
          <c:idx val="4"/>
          <c:order val="3"/>
          <c:tx>
            <c:strRef>
              <c:f>Charts!$F$376</c:f>
              <c:strCache>
                <c:ptCount val="1"/>
                <c:pt idx="0">
                  <c:v>Neutral</c:v>
                </c:pt>
              </c:strCache>
            </c:strRef>
          </c:tx>
          <c:spPr>
            <a:solidFill>
              <a:srgbClr val="E8E8E8"/>
            </a:solidFill>
            <a:ln>
              <a:noFill/>
            </a:ln>
            <a:effectLst/>
          </c:spPr>
          <c:invertIfNegative val="0"/>
          <c:dLbls>
            <c:dLbl>
              <c:idx val="0"/>
              <c:layout>
                <c:manualLayout>
                  <c:x val="-0.22623085504656468"/>
                  <c:y val="-3.7364818399482662E-3"/>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r>
                      <a:rPr lang="en-US" sz="1000">
                        <a:solidFill>
                          <a:schemeClr val="tx1"/>
                        </a:solidFill>
                      </a:rPr>
                      <a:t>reduces my sense of professional self-value.</a:t>
                    </a: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283493615520492"/>
                      <c:h val="5.5207588509268546E-2"/>
                    </c:manualLayout>
                  </c15:layout>
                  <c15:showDataLabelsRange val="0"/>
                </c:ext>
                <c:ext xmlns:c16="http://schemas.microsoft.com/office/drawing/2014/chart" uri="{C3380CC4-5D6E-409C-BE32-E72D297353CC}">
                  <c16:uniqueId val="{0000001C-E136-D14D-9928-956D03DED5ED}"/>
                </c:ext>
              </c:extLst>
            </c:dLbl>
            <c:dLbl>
              <c:idx val="1"/>
              <c:layout>
                <c:manualLayout>
                  <c:x val="-2.6331212797783742E-2"/>
                  <c:y val="3.906206512935305E-7"/>
                </c:manualLayout>
              </c:layout>
              <c:tx>
                <c:rich>
                  <a:bodyPr/>
                  <a:lstStyle/>
                  <a:p>
                    <a:r>
                      <a:rPr lang="en-US"/>
                      <a:t>18%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136-D14D-9928-956D03DED5ED}"/>
                </c:ext>
              </c:extLst>
            </c:dLbl>
            <c:dLbl>
              <c:idx val="2"/>
              <c:layout>
                <c:manualLayout>
                  <c:x val="-0.25595542891041068"/>
                  <c:y val="-9.3134705336288016E-3"/>
                </c:manualLayout>
              </c:layout>
              <c:tx>
                <c:rich>
                  <a:bodyPr rot="0" spcFirstLastPara="1" vertOverflow="ellipsis" vert="horz" wrap="square" lIns="38100" tIns="19050" rIns="38100" bIns="19050" anchor="ctr" anchorCtr="0">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900" b="0" i="0" u="none" strike="noStrike" kern="1200" baseline="0">
                        <a:solidFill>
                          <a:schemeClr val="tx1"/>
                        </a:solidFill>
                        <a:latin typeface="+mn-lt"/>
                        <a:ea typeface="+mn-ea"/>
                        <a:cs typeface="+mn-cs"/>
                      </a:defRPr>
                    </a:pPr>
                    <a:r>
                      <a:rPr lang="en-US" sz="1000">
                        <a:solidFill>
                          <a:schemeClr val="tx1"/>
                        </a:solidFill>
                      </a:rPr>
                      <a:t>helps reduce my work-related stress.</a:t>
                    </a:r>
                  </a:p>
                </c:rich>
              </c:tx>
              <c:spPr>
                <a:noFill/>
                <a:ln>
                  <a:noFill/>
                </a:ln>
                <a:effectLst/>
              </c:spPr>
              <c:txPr>
                <a:bodyPr rot="0" spcFirstLastPara="1" vertOverflow="ellipsis" vert="horz" wrap="square" lIns="38100" tIns="19050" rIns="38100" bIns="19050" anchor="ctr" anchorCtr="0">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50498505393814"/>
                      <c:h val="5.3545692948340211E-2"/>
                    </c:manualLayout>
                  </c15:layout>
                  <c15:showDataLabelsRange val="0"/>
                </c:ext>
                <c:ext xmlns:c16="http://schemas.microsoft.com/office/drawing/2014/chart" uri="{C3380CC4-5D6E-409C-BE32-E72D297353CC}">
                  <c16:uniqueId val="{0000001D-E136-D14D-9928-956D03DED5ED}"/>
                </c:ext>
              </c:extLst>
            </c:dLbl>
            <c:dLbl>
              <c:idx val="3"/>
              <c:layout>
                <c:manualLayout>
                  <c:x val="-3.0505632872383701E-2"/>
                  <c:y val="7.8124130260979811E-7"/>
                </c:manualLayout>
              </c:layout>
              <c:tx>
                <c:rich>
                  <a:bodyPr/>
                  <a:lstStyle/>
                  <a:p>
                    <a:r>
                      <a:rPr lang="en-US"/>
                      <a:t>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136-D14D-9928-956D03DED5ED}"/>
                </c:ext>
              </c:extLst>
            </c:dLbl>
            <c:dLbl>
              <c:idx val="4"/>
              <c:layout>
                <c:manualLayout>
                  <c:x val="-0.13486853269859914"/>
                  <c:y val="-9.312786947489016E-3"/>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r>
                      <a:rPr lang="en-US" sz="1000">
                        <a:solidFill>
                          <a:schemeClr val="tx1"/>
                        </a:solidFill>
                      </a:rPr>
                      <a:t>contributes to work intensification or feelings associated with burnout.</a:t>
                    </a: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0573137325213213"/>
                      <c:h val="6.1960052397854168E-2"/>
                    </c:manualLayout>
                  </c15:layout>
                  <c15:showDataLabelsRange val="0"/>
                </c:ext>
                <c:ext xmlns:c16="http://schemas.microsoft.com/office/drawing/2014/chart" uri="{C3380CC4-5D6E-409C-BE32-E72D297353CC}">
                  <c16:uniqueId val="{0000001F-E136-D14D-9928-956D03DED5ED}"/>
                </c:ext>
              </c:extLst>
            </c:dLbl>
            <c:dLbl>
              <c:idx val="5"/>
              <c:layout>
                <c:manualLayout>
                  <c:x val="-3.6446919960235712E-2"/>
                  <c:y val="7.81241302587061E-7"/>
                </c:manualLayout>
              </c:layout>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B22-5F42-8607-CBB75F74C0DC}"/>
                </c:ext>
              </c:extLst>
            </c:dLbl>
            <c:dLbl>
              <c:idx val="6"/>
              <c:layout>
                <c:manualLayout>
                  <c:x val="-0.17336294262060023"/>
                  <c:y val="-6.8330293979149059E-3"/>
                </c:manualLayout>
              </c:layout>
              <c:tx>
                <c:rich>
                  <a:bodyPr rot="0" spcFirstLastPara="1" vertOverflow="ellipsis" vert="horz" wrap="square" lIns="38100" tIns="19050" rIns="38100" bIns="19050" anchor="ctr" anchorCtr="0">
                    <a:spAutoFit/>
                  </a:bodyPr>
                  <a:lstStyle/>
                  <a:p>
                    <a:pPr algn="l">
                      <a:defRPr sz="900" b="0" i="0" u="none" strike="noStrike" kern="1200" baseline="0">
                        <a:solidFill>
                          <a:schemeClr val="tx1"/>
                        </a:solidFill>
                        <a:latin typeface="+mn-lt"/>
                        <a:ea typeface="+mn-ea"/>
                        <a:cs typeface="+mn-cs"/>
                      </a:defRPr>
                    </a:pPr>
                    <a:r>
                      <a:rPr lang="en-US" sz="1000">
                        <a:solidFill>
                          <a:schemeClr val="tx1"/>
                        </a:solidFill>
                      </a:rPr>
                      <a:t>makes me anxious to keep up with its developments.</a:t>
                    </a:r>
                  </a:p>
                </c:rich>
              </c:tx>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2832021080135363"/>
                      <c:h val="7.753149237836035E-2"/>
                    </c:manualLayout>
                  </c15:layout>
                  <c15:showDataLabelsRange val="0"/>
                </c:ext>
                <c:ext xmlns:c16="http://schemas.microsoft.com/office/drawing/2014/chart" uri="{C3380CC4-5D6E-409C-BE32-E72D297353CC}">
                  <c16:uniqueId val="{00000020-E136-D14D-9928-956D03DED5ED}"/>
                </c:ext>
              </c:extLst>
            </c:dLbl>
            <c:dLbl>
              <c:idx val="7"/>
              <c:layout>
                <c:manualLayout>
                  <c:x val="-2.6172302779333755E-2"/>
                  <c:y val="1.1125726799670556E-16"/>
                </c:manualLayout>
              </c:layout>
              <c:tx>
                <c:rich>
                  <a:bodyPr/>
                  <a:lstStyle/>
                  <a:p>
                    <a:r>
                      <a:rPr lang="en-US"/>
                      <a:t>18%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B22-5F42-8607-CBB75F74C0DC}"/>
                </c:ext>
              </c:extLst>
            </c:dLbl>
            <c:dLbl>
              <c:idx val="8"/>
              <c:layout>
                <c:manualLayout>
                  <c:x val="-0.16602007794480705"/>
                  <c:y val="-6.5286382553944224E-3"/>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r>
                      <a:rPr lang="en-US" sz="1000">
                        <a:solidFill>
                          <a:schemeClr val="tx1"/>
                        </a:solidFill>
                      </a:rPr>
                      <a:t>contributes to my social isolation</a:t>
                    </a:r>
                    <a:r>
                      <a:rPr lang="en-US">
                        <a:solidFill>
                          <a:schemeClr val="tx1"/>
                        </a:solidFill>
                      </a:rPr>
                      <a:t>.</a:t>
                    </a: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4664560887801485"/>
                      <c:h val="9.5975103402169151E-2"/>
                    </c:manualLayout>
                  </c15:layout>
                  <c15:showDataLabelsRange val="0"/>
                </c:ext>
                <c:ext xmlns:c16="http://schemas.microsoft.com/office/drawing/2014/chart" uri="{C3380CC4-5D6E-409C-BE32-E72D297353CC}">
                  <c16:uniqueId val="{00000021-E136-D14D-9928-956D03DED5ED}"/>
                </c:ext>
              </c:extLst>
            </c:dLbl>
            <c:dLbl>
              <c:idx val="9"/>
              <c:layout>
                <c:manualLayout>
                  <c:x val="-3.0211114046051677E-2"/>
                  <c:y val="1.9531032569223948E-7"/>
                </c:manualLayout>
              </c:layout>
              <c:tx>
                <c:rich>
                  <a:bodyPr/>
                  <a:lstStyle/>
                  <a:p>
                    <a:r>
                      <a:rPr lang="en-US"/>
                      <a:t>21%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B22-5F42-8607-CBB75F74C0DC}"/>
                </c:ext>
              </c:extLst>
            </c:dLbl>
            <c:dLbl>
              <c:idx val="10"/>
              <c:layout>
                <c:manualLayout>
                  <c:x val="-0.10276917791003046"/>
                  <c:y val="-9.3213806018175183E-3"/>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r>
                      <a:rPr lang="en-US" sz="1000">
                        <a:solidFill>
                          <a:schemeClr val="tx1"/>
                        </a:solidFill>
                      </a:rPr>
                      <a:t>reduces constructive human interaction in my academic work.</a:t>
                    </a: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678979644137635"/>
                      <c:h val="5.7156590248897618E-2"/>
                    </c:manualLayout>
                  </c15:layout>
                  <c15:showDataLabelsRange val="0"/>
                </c:ext>
                <c:ext xmlns:c16="http://schemas.microsoft.com/office/drawing/2014/chart" uri="{C3380CC4-5D6E-409C-BE32-E72D297353CC}">
                  <c16:uniqueId val="{00000022-E136-D14D-9928-956D03DED5ED}"/>
                </c:ext>
              </c:extLst>
            </c:dLbl>
            <c:dLbl>
              <c:idx val="11"/>
              <c:layout>
                <c:manualLayout>
                  <c:x val="-2.3695177072834566E-2"/>
                  <c:y val="1.9531032564676525E-7"/>
                </c:manualLayout>
              </c:layout>
              <c:tx>
                <c:rich>
                  <a:bodyPr/>
                  <a:lstStyle/>
                  <a:p>
                    <a:r>
                      <a:rPr lang="en-US"/>
                      <a:t>17%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B22-5F42-8607-CBB75F74C0DC}"/>
                </c:ext>
              </c:extLst>
            </c:dLbl>
            <c:dLbl>
              <c:idx val="12"/>
              <c:layout>
                <c:manualLayout>
                  <c:x val="1.2019380937413459E-2"/>
                  <c:y val="-4.9764094423167555E-3"/>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r>
                      <a:rPr lang="en-US" sz="1000">
                        <a:solidFill>
                          <a:schemeClr val="tx1"/>
                        </a:solidFill>
                      </a:rPr>
                      <a:t>is contributing to my trust issues towards my collaborators, regarding their ethical use of GenAI.</a:t>
                    </a: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79787137432891397"/>
                      <c:h val="5.8373730745421501E-2"/>
                    </c:manualLayout>
                  </c15:layout>
                  <c15:showDataLabelsRange val="0"/>
                </c:ext>
                <c:ext xmlns:c16="http://schemas.microsoft.com/office/drawing/2014/chart" uri="{C3380CC4-5D6E-409C-BE32-E72D297353CC}">
                  <c16:uniqueId val="{00000023-E136-D14D-9928-956D03DED5ED}"/>
                </c:ext>
              </c:extLst>
            </c:dLbl>
            <c:dLbl>
              <c:idx val="13"/>
              <c:layout>
                <c:manualLayout>
                  <c:x val="-2.8283276200370255E-2"/>
                  <c:y val="3.906206512935305E-7"/>
                </c:manualLayout>
              </c:layout>
              <c:tx>
                <c:rich>
                  <a:bodyPr/>
                  <a:lstStyle/>
                  <a:p>
                    <a:r>
                      <a:rPr lang="en-US"/>
                      <a:t>20%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B22-5F42-8607-CBB75F74C0DC}"/>
                </c:ext>
              </c:extLst>
            </c:dLbl>
            <c:dLbl>
              <c:idx val="15"/>
              <c:layout>
                <c:manualLayout>
                  <c:x val="-3.7481978399165422E-2"/>
                  <c:y val="0"/>
                </c:manualLayout>
              </c:layout>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128-8D45-8033-AB2BC3571A2D}"/>
                </c:ext>
              </c:extLst>
            </c:dLbl>
            <c:dLbl>
              <c:idx val="17"/>
              <c:layout>
                <c:manualLayout>
                  <c:x val="-3.5920229299200197E-2"/>
                  <c:y val="9.0948457665166468E-17"/>
                </c:manualLayout>
              </c:layout>
              <c:tx>
                <c:rich>
                  <a:bodyPr/>
                  <a:lstStyle/>
                  <a:p>
                    <a:r>
                      <a:rPr lang="en-US"/>
                      <a:t>26%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128-8D45-8033-AB2BC3571A2D}"/>
                </c:ext>
              </c:extLst>
            </c:dLbl>
            <c:dLbl>
              <c:idx val="19"/>
              <c:layout>
                <c:manualLayout>
                  <c:x val="-3.7481978399165422E-2"/>
                  <c:y val="0"/>
                </c:manualLayout>
              </c:layout>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128-8D45-8033-AB2BC3571A2D}"/>
                </c:ext>
              </c:extLst>
            </c:dLbl>
            <c:dLbl>
              <c:idx val="21"/>
              <c:layout>
                <c:manualLayout>
                  <c:x val="-1.0932243699756565E-2"/>
                  <c:y val="0"/>
                </c:manualLayout>
              </c:layout>
              <c:tx>
                <c:rich>
                  <a:bodyPr/>
                  <a:lstStyle/>
                  <a:p>
                    <a:r>
                      <a:rPr lang="en-US"/>
                      <a:t>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128-8D45-8033-AB2BC3571A2D}"/>
                </c:ext>
              </c:extLst>
            </c:dLbl>
            <c:dLbl>
              <c:idx val="23"/>
              <c:layout>
                <c:manualLayout>
                  <c:x val="-2.4987985599443575E-2"/>
                  <c:y val="1.9531032582866219E-7"/>
                </c:manualLayout>
              </c:layout>
              <c:tx>
                <c:rich>
                  <a:bodyPr/>
                  <a:lstStyle/>
                  <a:p>
                    <a:r>
                      <a:rPr lang="en-US"/>
                      <a:t>17%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128-8D45-8033-AB2BC3571A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Charts!$B$377:$B$400</c:f>
              <c:strCache>
                <c:ptCount val="23"/>
                <c:pt idx="0">
                  <c:v>a. reduces my sense of professional self-value.</c:v>
                </c:pt>
                <c:pt idx="2">
                  <c:v>b.helps reduce my work-related stress.</c:v>
                </c:pt>
                <c:pt idx="4">
                  <c:v>c. contributes to work intensification or feelings associated with burnout.</c:v>
                </c:pt>
                <c:pt idx="6">
                  <c:v>d. makes me anxious to keep up with its developments.</c:v>
                </c:pt>
                <c:pt idx="8">
                  <c:v>e. contributes to my social isolation.</c:v>
                </c:pt>
                <c:pt idx="10">
                  <c:v>f. reduces constructive human interaction in my academic work.</c:v>
                </c:pt>
                <c:pt idx="12">
                  <c:v>g. is contributing to my trust issues towards my collaborators, regarding their ethical use of GenAI.</c:v>
                </c:pt>
                <c:pt idx="14">
                  <c:v>h.lowers my emotional reward by reducing my healthy cognitive challenges.</c:v>
                </c:pt>
                <c:pt idx="16">
                  <c:v>i. causes inequalities among academics (e.g., skills).</c:v>
                </c:pt>
                <c:pt idx="18">
                  <c:v>j. increases competition rather than collaboration in academia.</c:v>
                </c:pt>
                <c:pt idx="20">
                  <c:v>k. I feel comfortable discussing GenAI use openly with colleagues.</c:v>
                </c:pt>
                <c:pt idx="22">
                  <c:v>l. I feel pressure to use GenAI even when I am uncomfortable doing so.</c:v>
                </c:pt>
              </c:strCache>
            </c:strRef>
          </c:cat>
          <c:val>
            <c:numRef>
              <c:f>Charts!$F$377:$F$400</c:f>
              <c:numCache>
                <c:formatCode>0%</c:formatCode>
                <c:ptCount val="24"/>
                <c:pt idx="0">
                  <c:v>0</c:v>
                </c:pt>
                <c:pt idx="1">
                  <c:v>0.09</c:v>
                </c:pt>
                <c:pt idx="2">
                  <c:v>0</c:v>
                </c:pt>
                <c:pt idx="3">
                  <c:v>0.11</c:v>
                </c:pt>
                <c:pt idx="4">
                  <c:v>0</c:v>
                </c:pt>
                <c:pt idx="5">
                  <c:v>0.13500000000000001</c:v>
                </c:pt>
                <c:pt idx="6">
                  <c:v>0</c:v>
                </c:pt>
                <c:pt idx="7">
                  <c:v>0.09</c:v>
                </c:pt>
                <c:pt idx="8">
                  <c:v>0</c:v>
                </c:pt>
                <c:pt idx="9">
                  <c:v>0.105</c:v>
                </c:pt>
                <c:pt idx="10">
                  <c:v>0</c:v>
                </c:pt>
                <c:pt idx="11">
                  <c:v>8.5000000000000006E-2</c:v>
                </c:pt>
                <c:pt idx="12">
                  <c:v>0</c:v>
                </c:pt>
                <c:pt idx="13">
                  <c:v>0.1</c:v>
                </c:pt>
                <c:pt idx="14">
                  <c:v>0</c:v>
                </c:pt>
                <c:pt idx="15">
                  <c:v>0.14000000000000001</c:v>
                </c:pt>
                <c:pt idx="16">
                  <c:v>0</c:v>
                </c:pt>
                <c:pt idx="17">
                  <c:v>0.13</c:v>
                </c:pt>
                <c:pt idx="18">
                  <c:v>0</c:v>
                </c:pt>
                <c:pt idx="19">
                  <c:v>0.14000000000000001</c:v>
                </c:pt>
                <c:pt idx="20">
                  <c:v>0</c:v>
                </c:pt>
                <c:pt idx="21">
                  <c:v>0.04</c:v>
                </c:pt>
                <c:pt idx="22">
                  <c:v>0</c:v>
                </c:pt>
                <c:pt idx="23">
                  <c:v>8.5000000000000006E-2</c:v>
                </c:pt>
              </c:numCache>
            </c:numRef>
          </c:val>
          <c:extLst>
            <c:ext xmlns:c16="http://schemas.microsoft.com/office/drawing/2014/chart" uri="{C3380CC4-5D6E-409C-BE32-E72D297353CC}">
              <c16:uniqueId val="{00000004-E136-D14D-9928-956D03DED5ED}"/>
            </c:ext>
          </c:extLst>
        </c:ser>
        <c:ser>
          <c:idx val="5"/>
          <c:order val="4"/>
          <c:tx>
            <c:strRef>
              <c:f>Charts!$G$376</c:f>
              <c:strCache>
                <c:ptCount val="1"/>
                <c:pt idx="0">
                  <c:v>Somewhat agree</c:v>
                </c:pt>
              </c:strCache>
            </c:strRef>
          </c:tx>
          <c:spPr>
            <a:solidFill>
              <a:srgbClr val="156082">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Charts!$B$377:$B$400</c:f>
              <c:strCache>
                <c:ptCount val="23"/>
                <c:pt idx="0">
                  <c:v>a. reduces my sense of professional self-value.</c:v>
                </c:pt>
                <c:pt idx="2">
                  <c:v>b.helps reduce my work-related stress.</c:v>
                </c:pt>
                <c:pt idx="4">
                  <c:v>c. contributes to work intensification or feelings associated with burnout.</c:v>
                </c:pt>
                <c:pt idx="6">
                  <c:v>d. makes me anxious to keep up with its developments.</c:v>
                </c:pt>
                <c:pt idx="8">
                  <c:v>e. contributes to my social isolation.</c:v>
                </c:pt>
                <c:pt idx="10">
                  <c:v>f. reduces constructive human interaction in my academic work.</c:v>
                </c:pt>
                <c:pt idx="12">
                  <c:v>g. is contributing to my trust issues towards my collaborators, regarding their ethical use of GenAI.</c:v>
                </c:pt>
                <c:pt idx="14">
                  <c:v>h.lowers my emotional reward by reducing my healthy cognitive challenges.</c:v>
                </c:pt>
                <c:pt idx="16">
                  <c:v>i. causes inequalities among academics (e.g., skills).</c:v>
                </c:pt>
                <c:pt idx="18">
                  <c:v>j. increases competition rather than collaboration in academia.</c:v>
                </c:pt>
                <c:pt idx="20">
                  <c:v>k. I feel comfortable discussing GenAI use openly with colleagues.</c:v>
                </c:pt>
                <c:pt idx="22">
                  <c:v>l. I feel pressure to use GenAI even when I am uncomfortable doing so.</c:v>
                </c:pt>
              </c:strCache>
            </c:strRef>
          </c:cat>
          <c:val>
            <c:numRef>
              <c:f>Charts!$G$377:$G$400</c:f>
              <c:numCache>
                <c:formatCode>0%</c:formatCode>
                <c:ptCount val="24"/>
                <c:pt idx="0">
                  <c:v>0</c:v>
                </c:pt>
                <c:pt idx="1">
                  <c:v>0.28349999999999997</c:v>
                </c:pt>
                <c:pt idx="2">
                  <c:v>0</c:v>
                </c:pt>
                <c:pt idx="3">
                  <c:v>0.25979999999999998</c:v>
                </c:pt>
                <c:pt idx="4">
                  <c:v>0</c:v>
                </c:pt>
                <c:pt idx="5">
                  <c:v>0.2283</c:v>
                </c:pt>
                <c:pt idx="6">
                  <c:v>0</c:v>
                </c:pt>
                <c:pt idx="7">
                  <c:v>0.33860000000000001</c:v>
                </c:pt>
                <c:pt idx="8">
                  <c:v>0</c:v>
                </c:pt>
                <c:pt idx="9">
                  <c:v>0.126</c:v>
                </c:pt>
                <c:pt idx="10">
                  <c:v>0</c:v>
                </c:pt>
                <c:pt idx="11">
                  <c:v>0.189</c:v>
                </c:pt>
                <c:pt idx="12">
                  <c:v>0</c:v>
                </c:pt>
                <c:pt idx="13">
                  <c:v>0.378</c:v>
                </c:pt>
                <c:pt idx="14">
                  <c:v>0</c:v>
                </c:pt>
                <c:pt idx="15">
                  <c:v>0.17319999999999999</c:v>
                </c:pt>
                <c:pt idx="16">
                  <c:v>0</c:v>
                </c:pt>
                <c:pt idx="17">
                  <c:v>0.33069999999999999</c:v>
                </c:pt>
                <c:pt idx="18">
                  <c:v>0</c:v>
                </c:pt>
                <c:pt idx="19">
                  <c:v>0.252</c:v>
                </c:pt>
                <c:pt idx="20">
                  <c:v>0</c:v>
                </c:pt>
                <c:pt idx="21">
                  <c:v>0.3543307086614173</c:v>
                </c:pt>
                <c:pt idx="22">
                  <c:v>0</c:v>
                </c:pt>
                <c:pt idx="23">
                  <c:v>0.18110000000000001</c:v>
                </c:pt>
              </c:numCache>
            </c:numRef>
          </c:val>
          <c:extLst>
            <c:ext xmlns:c16="http://schemas.microsoft.com/office/drawing/2014/chart" uri="{C3380CC4-5D6E-409C-BE32-E72D297353CC}">
              <c16:uniqueId val="{00000005-E136-D14D-9928-956D03DED5ED}"/>
            </c:ext>
          </c:extLst>
        </c:ser>
        <c:ser>
          <c:idx val="6"/>
          <c:order val="5"/>
          <c:tx>
            <c:strRef>
              <c:f>Charts!$H$376</c:f>
              <c:strCache>
                <c:ptCount val="1"/>
                <c:pt idx="0">
                  <c:v>Strongly agree</c:v>
                </c:pt>
              </c:strCache>
            </c:strRef>
          </c:tx>
          <c:spPr>
            <a:solidFill>
              <a:srgbClr val="156082">
                <a:lumMod val="75000"/>
              </a:srgbClr>
            </a:solidFill>
            <a:ln>
              <a:noFill/>
            </a:ln>
            <a:effectLst/>
          </c:spPr>
          <c:invertIfNegative val="0"/>
          <c:dLbls>
            <c:dLbl>
              <c:idx val="14"/>
              <c:layout>
                <c:manualLayout>
                  <c:x val="-0.1358721102107894"/>
                  <c:y val="-8.6803721130447441E-3"/>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bg1"/>
                        </a:solidFill>
                        <a:latin typeface="+mn-lt"/>
                        <a:ea typeface="+mn-ea"/>
                        <a:cs typeface="+mn-cs"/>
                      </a:defRPr>
                    </a:pPr>
                    <a:r>
                      <a:rPr lang="en-US" sz="1000">
                        <a:solidFill>
                          <a:schemeClr val="tx1"/>
                        </a:solidFill>
                      </a:rPr>
                      <a:t>lowers my emotional reward by reducing my healthy cognitive challenges.</a:t>
                    </a: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0260209535080813"/>
                      <c:h val="4.7016859382620152E-2"/>
                    </c:manualLayout>
                  </c15:layout>
                  <c15:showDataLabelsRange val="0"/>
                </c:ext>
                <c:ext xmlns:c16="http://schemas.microsoft.com/office/drawing/2014/chart" uri="{C3380CC4-5D6E-409C-BE32-E72D297353CC}">
                  <c16:uniqueId val="{00000040-C128-8D45-8033-AB2BC3571A2D}"/>
                </c:ext>
              </c:extLst>
            </c:dLbl>
            <c:dLbl>
              <c:idx val="16"/>
              <c:layout>
                <c:manualLayout>
                  <c:x val="-0.20068475934553123"/>
                  <c:y val="-7.438882028071081E-3"/>
                </c:manualLayout>
              </c:layout>
              <c:tx>
                <c:rich>
                  <a:bodyPr rot="0" spcFirstLastPara="1" vertOverflow="ellipsis" vert="horz" wrap="square" lIns="38100" tIns="19050" rIns="38100" bIns="19050" anchor="ctr" anchorCtr="0">
                    <a:spAutoFit/>
                  </a:bodyPr>
                  <a:lstStyle/>
                  <a:p>
                    <a:pPr algn="l">
                      <a:defRPr sz="900" b="0" i="0" u="none" strike="noStrike" kern="1200" baseline="0">
                        <a:solidFill>
                          <a:schemeClr val="bg1"/>
                        </a:solidFill>
                        <a:latin typeface="+mn-lt"/>
                        <a:ea typeface="+mn-ea"/>
                        <a:cs typeface="+mn-cs"/>
                      </a:defRPr>
                    </a:pPr>
                    <a:r>
                      <a:rPr lang="en-US" sz="1000">
                        <a:solidFill>
                          <a:schemeClr val="tx1"/>
                        </a:solidFill>
                      </a:rPr>
                      <a:t>causes inequalities among academics (e.g., skills).</a:t>
                    </a:r>
                  </a:p>
                </c:rich>
              </c:tx>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7228200319039517"/>
                      <c:h val="6.4950448793831772E-2"/>
                    </c:manualLayout>
                  </c15:layout>
                  <c15:showDataLabelsRange val="0"/>
                </c:ext>
                <c:ext xmlns:c16="http://schemas.microsoft.com/office/drawing/2014/chart" uri="{C3380CC4-5D6E-409C-BE32-E72D297353CC}">
                  <c16:uniqueId val="{00000041-C128-8D45-8033-AB2BC3571A2D}"/>
                </c:ext>
              </c:extLst>
            </c:dLbl>
            <c:dLbl>
              <c:idx val="18"/>
              <c:layout>
                <c:manualLayout>
                  <c:x val="-0.18350545775972871"/>
                  <c:y val="-4.9603939956136302E-3"/>
                </c:manualLayout>
              </c:layout>
              <c:tx>
                <c:rich>
                  <a:bodyPr rot="0" spcFirstLastPara="1" vertOverflow="ellipsis" vert="horz" wrap="square" lIns="38100" tIns="19050" rIns="38100" bIns="19050" anchor="ctr" anchorCtr="0">
                    <a:spAutoFit/>
                  </a:bodyPr>
                  <a:lstStyle/>
                  <a:p>
                    <a:pPr algn="l">
                      <a:defRPr sz="900" b="0" i="0" u="none" strike="noStrike" kern="1200" baseline="0">
                        <a:solidFill>
                          <a:schemeClr val="bg1"/>
                        </a:solidFill>
                        <a:latin typeface="+mn-lt"/>
                        <a:ea typeface="+mn-ea"/>
                        <a:cs typeface="+mn-cs"/>
                      </a:defRPr>
                    </a:pPr>
                    <a:r>
                      <a:rPr lang="en-US" sz="1000">
                        <a:solidFill>
                          <a:schemeClr val="tx1"/>
                        </a:solidFill>
                      </a:rPr>
                      <a:t>increases competition rather than collaboration in academia.</a:t>
                    </a:r>
                  </a:p>
                </c:rich>
              </c:tx>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74759576719264"/>
                      <c:h val="6.4950448793831772E-2"/>
                    </c:manualLayout>
                  </c15:layout>
                  <c15:showDataLabelsRange val="0"/>
                </c:ext>
                <c:ext xmlns:c16="http://schemas.microsoft.com/office/drawing/2014/chart" uri="{C3380CC4-5D6E-409C-BE32-E72D297353CC}">
                  <c16:uniqueId val="{00000042-C128-8D45-8033-AB2BC3571A2D}"/>
                </c:ext>
              </c:extLst>
            </c:dLbl>
            <c:dLbl>
              <c:idx val="22"/>
              <c:layout>
                <c:manualLayout>
                  <c:x val="-0.15148966269662667"/>
                  <c:y val="-2.4796598944113318E-3"/>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bg1"/>
                        </a:solidFill>
                        <a:latin typeface="+mn-lt"/>
                        <a:ea typeface="+mn-ea"/>
                        <a:cs typeface="+mn-cs"/>
                      </a:defRPr>
                    </a:pPr>
                    <a:r>
                      <a:rPr lang="en-US" sz="1000">
                        <a:solidFill>
                          <a:schemeClr val="tx1"/>
                        </a:solidFill>
                      </a:rPr>
                      <a:t>I feel pressure to use GenAI even when I am uncomfortable doing so.</a:t>
                    </a: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7517003389610407"/>
                      <c:h val="6.8460175345704158E-2"/>
                    </c:manualLayout>
                  </c15:layout>
                  <c15:showDataLabelsRange val="0"/>
                </c:ext>
                <c:ext xmlns:c16="http://schemas.microsoft.com/office/drawing/2014/chart" uri="{C3380CC4-5D6E-409C-BE32-E72D297353CC}">
                  <c16:uniqueId val="{00000043-C128-8D45-8033-AB2BC3571A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Charts!$B$377:$B$400</c:f>
              <c:strCache>
                <c:ptCount val="23"/>
                <c:pt idx="0">
                  <c:v>a. reduces my sense of professional self-value.</c:v>
                </c:pt>
                <c:pt idx="2">
                  <c:v>b.helps reduce my work-related stress.</c:v>
                </c:pt>
                <c:pt idx="4">
                  <c:v>c. contributes to work intensification or feelings associated with burnout.</c:v>
                </c:pt>
                <c:pt idx="6">
                  <c:v>d. makes me anxious to keep up with its developments.</c:v>
                </c:pt>
                <c:pt idx="8">
                  <c:v>e. contributes to my social isolation.</c:v>
                </c:pt>
                <c:pt idx="10">
                  <c:v>f. reduces constructive human interaction in my academic work.</c:v>
                </c:pt>
                <c:pt idx="12">
                  <c:v>g. is contributing to my trust issues towards my collaborators, regarding their ethical use of GenAI.</c:v>
                </c:pt>
                <c:pt idx="14">
                  <c:v>h.lowers my emotional reward by reducing my healthy cognitive challenges.</c:v>
                </c:pt>
                <c:pt idx="16">
                  <c:v>i. causes inequalities among academics (e.g., skills).</c:v>
                </c:pt>
                <c:pt idx="18">
                  <c:v>j. increases competition rather than collaboration in academia.</c:v>
                </c:pt>
                <c:pt idx="20">
                  <c:v>k. I feel comfortable discussing GenAI use openly with colleagues.</c:v>
                </c:pt>
                <c:pt idx="22">
                  <c:v>l. I feel pressure to use GenAI even when I am uncomfortable doing so.</c:v>
                </c:pt>
              </c:strCache>
            </c:strRef>
          </c:cat>
          <c:val>
            <c:numRef>
              <c:f>Charts!$H$377:$H$400</c:f>
              <c:numCache>
                <c:formatCode>0%</c:formatCode>
                <c:ptCount val="24"/>
                <c:pt idx="0">
                  <c:v>0</c:v>
                </c:pt>
                <c:pt idx="1">
                  <c:v>9.4500000000000001E-2</c:v>
                </c:pt>
                <c:pt idx="2">
                  <c:v>0</c:v>
                </c:pt>
                <c:pt idx="3">
                  <c:v>2.3599999999999999E-2</c:v>
                </c:pt>
                <c:pt idx="4">
                  <c:v>0</c:v>
                </c:pt>
                <c:pt idx="5">
                  <c:v>0.13389999999999999</c:v>
                </c:pt>
                <c:pt idx="6">
                  <c:v>0</c:v>
                </c:pt>
                <c:pt idx="7">
                  <c:v>0.252</c:v>
                </c:pt>
                <c:pt idx="8">
                  <c:v>0</c:v>
                </c:pt>
                <c:pt idx="9">
                  <c:v>6.3E-2</c:v>
                </c:pt>
                <c:pt idx="10">
                  <c:v>0</c:v>
                </c:pt>
                <c:pt idx="11">
                  <c:v>0.126</c:v>
                </c:pt>
                <c:pt idx="12">
                  <c:v>0</c:v>
                </c:pt>
                <c:pt idx="13">
                  <c:v>0.21260000000000001</c:v>
                </c:pt>
                <c:pt idx="14">
                  <c:v>0</c:v>
                </c:pt>
                <c:pt idx="15">
                  <c:v>9.4500000000000001E-2</c:v>
                </c:pt>
                <c:pt idx="16">
                  <c:v>0</c:v>
                </c:pt>
                <c:pt idx="17">
                  <c:v>0.17319999999999999</c:v>
                </c:pt>
                <c:pt idx="18">
                  <c:v>0</c:v>
                </c:pt>
                <c:pt idx="19">
                  <c:v>0.24410000000000001</c:v>
                </c:pt>
                <c:pt idx="20">
                  <c:v>0</c:v>
                </c:pt>
                <c:pt idx="21">
                  <c:v>0.47239999999999999</c:v>
                </c:pt>
                <c:pt idx="22">
                  <c:v>0</c:v>
                </c:pt>
                <c:pt idx="23">
                  <c:v>0.1024</c:v>
                </c:pt>
              </c:numCache>
            </c:numRef>
          </c:val>
          <c:extLst>
            <c:ext xmlns:c16="http://schemas.microsoft.com/office/drawing/2014/chart" uri="{C3380CC4-5D6E-409C-BE32-E72D297353CC}">
              <c16:uniqueId val="{00000006-E136-D14D-9928-956D03DED5ED}"/>
            </c:ext>
          </c:extLst>
        </c:ser>
        <c:dLbls>
          <c:showLegendKey val="0"/>
          <c:showVal val="1"/>
          <c:showCatName val="0"/>
          <c:showSerName val="0"/>
          <c:showPercent val="0"/>
          <c:showBubbleSize val="0"/>
        </c:dLbls>
        <c:gapWidth val="40"/>
        <c:overlap val="100"/>
        <c:axId val="975742144"/>
        <c:axId val="975734976"/>
      </c:barChart>
      <c:catAx>
        <c:axId val="975742144"/>
        <c:scaling>
          <c:orientation val="maxMin"/>
        </c:scaling>
        <c:delete val="1"/>
        <c:axPos val="l"/>
        <c:numFmt formatCode="General" sourceLinked="1"/>
        <c:majorTickMark val="none"/>
        <c:minorTickMark val="none"/>
        <c:tickLblPos val="nextTo"/>
        <c:crossAx val="975734976"/>
        <c:crossesAt val="0"/>
        <c:auto val="1"/>
        <c:lblAlgn val="ctr"/>
        <c:lblOffset val="100"/>
        <c:noMultiLvlLbl val="0"/>
      </c:catAx>
      <c:valAx>
        <c:axId val="975734976"/>
        <c:scaling>
          <c:orientation val="minMax"/>
        </c:scaling>
        <c:delete val="0"/>
        <c:axPos val="t"/>
        <c:numFmt formatCode="0%" sourceLinked="1"/>
        <c:majorTickMark val="none"/>
        <c:minorTickMark val="none"/>
        <c:tickLblPos val="high"/>
        <c:spPr>
          <a:noFill/>
          <a:ln>
            <a:noFill/>
          </a:ln>
          <a:effectLst/>
        </c:spPr>
        <c:txPr>
          <a:bodyPr rot="0" spcFirstLastPara="1" vertOverflow="ellipsis" wrap="square" anchor="ctr" anchorCtr="0"/>
          <a:lstStyle/>
          <a:p>
            <a:pPr>
              <a:defRPr sz="900" b="0" i="0" u="none" strike="noStrike" kern="1200" baseline="0">
                <a:solidFill>
                  <a:schemeClr val="tx1"/>
                </a:solidFill>
                <a:latin typeface="+mn-lt"/>
                <a:ea typeface="+mn-ea"/>
                <a:cs typeface="+mn-cs"/>
              </a:defRPr>
            </a:pPr>
            <a:endParaRPr lang="en-US"/>
          </a:p>
        </c:txPr>
        <c:crossAx val="975742144"/>
        <c:crosses val="autoZero"/>
        <c:crossBetween val="between"/>
      </c:val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Charts!$B$100:$B$118</c:f>
              <c:strCache>
                <c:ptCount val="19"/>
                <c:pt idx="0">
                  <c:v>Software Requirements</c:v>
                </c:pt>
                <c:pt idx="1">
                  <c:v>Software Architecture</c:v>
                </c:pt>
                <c:pt idx="2">
                  <c:v>Software Design</c:v>
                </c:pt>
                <c:pt idx="3">
                  <c:v>Software Construction</c:v>
                </c:pt>
                <c:pt idx="4">
                  <c:v>Software Testing</c:v>
                </c:pt>
                <c:pt idx="5">
                  <c:v>Software Maintenance</c:v>
                </c:pt>
                <c:pt idx="6">
                  <c:v>Software Engineering Management</c:v>
                </c:pt>
                <c:pt idx="7">
                  <c:v>Software Engineering Process</c:v>
                </c:pt>
                <c:pt idx="8">
                  <c:v>Software Engineering Models and Methods</c:v>
                </c:pt>
                <c:pt idx="9">
                  <c:v>Software Quality</c:v>
                </c:pt>
                <c:pt idx="10">
                  <c:v>Software Security</c:v>
                </c:pt>
                <c:pt idx="11">
                  <c:v>Software Engineering Professional Practice</c:v>
                </c:pt>
                <c:pt idx="12">
                  <c:v>Computing Foundations</c:v>
                </c:pt>
                <c:pt idx="13">
                  <c:v>Engineering Foundations</c:v>
                </c:pt>
                <c:pt idx="14">
                  <c:v>Software Engineering Operations</c:v>
                </c:pt>
                <c:pt idx="15">
                  <c:v>Empirical Software Engineering</c:v>
                </c:pt>
                <c:pt idx="16">
                  <c:v>Mining Repositories</c:v>
                </c:pt>
                <c:pt idx="17">
                  <c:v>SE Education</c:v>
                </c:pt>
                <c:pt idx="18">
                  <c:v>Other</c:v>
                </c:pt>
              </c:strCache>
            </c:strRef>
          </c:cat>
          <c:val>
            <c:numRef>
              <c:f>Charts!$C$100:$C$118</c:f>
              <c:numCache>
                <c:formatCode>0%</c:formatCode>
                <c:ptCount val="19"/>
                <c:pt idx="0">
                  <c:v>0.10236220472440945</c:v>
                </c:pt>
                <c:pt idx="1">
                  <c:v>6.2992125984251968E-2</c:v>
                </c:pt>
                <c:pt idx="2">
                  <c:v>0.10236220472440945</c:v>
                </c:pt>
                <c:pt idx="3">
                  <c:v>7.874015748031496E-2</c:v>
                </c:pt>
                <c:pt idx="4">
                  <c:v>0.14173228346456693</c:v>
                </c:pt>
                <c:pt idx="5">
                  <c:v>0.2125984251968504</c:v>
                </c:pt>
                <c:pt idx="6">
                  <c:v>2.3622047244094488E-2</c:v>
                </c:pt>
                <c:pt idx="7">
                  <c:v>0.11023622047244094</c:v>
                </c:pt>
                <c:pt idx="8">
                  <c:v>5.5118110236220472E-2</c:v>
                </c:pt>
                <c:pt idx="9">
                  <c:v>0.12598425196850394</c:v>
                </c:pt>
                <c:pt idx="10">
                  <c:v>0.13385826771653545</c:v>
                </c:pt>
                <c:pt idx="11">
                  <c:v>2.3622047244094488E-2</c:v>
                </c:pt>
                <c:pt idx="12">
                  <c:v>0.19685039370078741</c:v>
                </c:pt>
                <c:pt idx="13">
                  <c:v>2.3622047244094488E-2</c:v>
                </c:pt>
                <c:pt idx="14">
                  <c:v>1.5748031496062992E-2</c:v>
                </c:pt>
                <c:pt idx="15">
                  <c:v>0.11023622047244094</c:v>
                </c:pt>
                <c:pt idx="16">
                  <c:v>5.5118110236220472E-2</c:v>
                </c:pt>
                <c:pt idx="17">
                  <c:v>2.3622047244094488E-2</c:v>
                </c:pt>
                <c:pt idx="18">
                  <c:v>2.3622047244094488E-2</c:v>
                </c:pt>
              </c:numCache>
            </c:numRef>
          </c:val>
          <c:extLst>
            <c:ext xmlns:c16="http://schemas.microsoft.com/office/drawing/2014/chart" uri="{C3380CC4-5D6E-409C-BE32-E72D297353CC}">
              <c16:uniqueId val="{00000000-1D03-B94E-85A0-18D5D28BDC53}"/>
            </c:ext>
          </c:extLst>
        </c:ser>
        <c:dLbls>
          <c:showLegendKey val="0"/>
          <c:showVal val="0"/>
          <c:showCatName val="0"/>
          <c:showSerName val="0"/>
          <c:showPercent val="0"/>
          <c:showBubbleSize val="0"/>
        </c:dLbls>
        <c:gapWidth val="182"/>
        <c:axId val="16070655"/>
        <c:axId val="16067519"/>
      </c:barChart>
      <c:catAx>
        <c:axId val="1607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67519"/>
        <c:crosses val="autoZero"/>
        <c:auto val="1"/>
        <c:lblAlgn val="ctr"/>
        <c:lblOffset val="100"/>
        <c:noMultiLvlLbl val="0"/>
      </c:catAx>
      <c:valAx>
        <c:axId val="160675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706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15876</xdr:colOff>
      <xdr:row>13</xdr:row>
      <xdr:rowOff>25399</xdr:rowOff>
    </xdr:from>
    <xdr:to>
      <xdr:col>4</xdr:col>
      <xdr:colOff>539751</xdr:colOff>
      <xdr:row>27</xdr:row>
      <xdr:rowOff>101599</xdr:rowOff>
    </xdr:to>
    <xdr:graphicFrame macro="">
      <xdr:nvGraphicFramePr>
        <xdr:cNvPr id="2" name="Chart 1">
          <a:extLst>
            <a:ext uri="{FF2B5EF4-FFF2-40B4-BE49-F238E27FC236}">
              <a16:creationId xmlns:a16="http://schemas.microsoft.com/office/drawing/2014/main" id="{2A730E2A-ED21-159A-1AD2-AA68834C7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11906</xdr:colOff>
      <xdr:row>40</xdr:row>
      <xdr:rowOff>17463</xdr:rowOff>
    </xdr:from>
    <xdr:to>
      <xdr:col>4</xdr:col>
      <xdr:colOff>535781</xdr:colOff>
      <xdr:row>54</xdr:row>
      <xdr:rowOff>93663</xdr:rowOff>
    </xdr:to>
    <xdr:graphicFrame macro="">
      <xdr:nvGraphicFramePr>
        <xdr:cNvPr id="3" name="Chart 2">
          <a:extLst>
            <a:ext uri="{FF2B5EF4-FFF2-40B4-BE49-F238E27FC236}">
              <a16:creationId xmlns:a16="http://schemas.microsoft.com/office/drawing/2014/main" id="{B7906A1C-B394-7D24-B6EF-093AE4FB6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3969</xdr:colOff>
      <xdr:row>69</xdr:row>
      <xdr:rowOff>41275</xdr:rowOff>
    </xdr:from>
    <xdr:to>
      <xdr:col>4</xdr:col>
      <xdr:colOff>527844</xdr:colOff>
      <xdr:row>83</xdr:row>
      <xdr:rowOff>117475</xdr:rowOff>
    </xdr:to>
    <xdr:graphicFrame macro="">
      <xdr:nvGraphicFramePr>
        <xdr:cNvPr id="4" name="Chart 3">
          <a:extLst>
            <a:ext uri="{FF2B5EF4-FFF2-40B4-BE49-F238E27FC236}">
              <a16:creationId xmlns:a16="http://schemas.microsoft.com/office/drawing/2014/main" id="{25640D0A-803B-CDCB-502D-3497757D5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595312</xdr:colOff>
      <xdr:row>126</xdr:row>
      <xdr:rowOff>142876</xdr:rowOff>
    </xdr:from>
    <xdr:to>
      <xdr:col>7</xdr:col>
      <xdr:colOff>7937</xdr:colOff>
      <xdr:row>140</xdr:row>
      <xdr:rowOff>2</xdr:rowOff>
    </xdr:to>
    <xdr:graphicFrame macro="">
      <xdr:nvGraphicFramePr>
        <xdr:cNvPr id="5" name="Chart 4">
          <a:extLst>
            <a:ext uri="{FF2B5EF4-FFF2-40B4-BE49-F238E27FC236}">
              <a16:creationId xmlns:a16="http://schemas.microsoft.com/office/drawing/2014/main" id="{59872FBD-8FA9-451C-1D46-0DA7629BA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631032</xdr:colOff>
      <xdr:row>144</xdr:row>
      <xdr:rowOff>9525</xdr:rowOff>
    </xdr:from>
    <xdr:to>
      <xdr:col>7</xdr:col>
      <xdr:colOff>702469</xdr:colOff>
      <xdr:row>155</xdr:row>
      <xdr:rowOff>6350</xdr:rowOff>
    </xdr:to>
    <xdr:graphicFrame macro="">
      <xdr:nvGraphicFramePr>
        <xdr:cNvPr id="6" name="Chart 5">
          <a:extLst>
            <a:ext uri="{FF2B5EF4-FFF2-40B4-BE49-F238E27FC236}">
              <a16:creationId xmlns:a16="http://schemas.microsoft.com/office/drawing/2014/main" id="{1579A799-DBD0-6C63-900B-9BA1D0BCA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7938</xdr:colOff>
      <xdr:row>157</xdr:row>
      <xdr:rowOff>190498</xdr:rowOff>
    </xdr:from>
    <xdr:to>
      <xdr:col>7</xdr:col>
      <xdr:colOff>448469</xdr:colOff>
      <xdr:row>166</xdr:row>
      <xdr:rowOff>71435</xdr:rowOff>
    </xdr:to>
    <xdr:graphicFrame macro="">
      <xdr:nvGraphicFramePr>
        <xdr:cNvPr id="7" name="Chart 6">
          <a:extLst>
            <a:ext uri="{FF2B5EF4-FFF2-40B4-BE49-F238E27FC236}">
              <a16:creationId xmlns:a16="http://schemas.microsoft.com/office/drawing/2014/main" id="{876E04E5-E76A-7BC3-D6D5-582F14D59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714374</xdr:colOff>
      <xdr:row>176</xdr:row>
      <xdr:rowOff>39687</xdr:rowOff>
    </xdr:from>
    <xdr:to>
      <xdr:col>5</xdr:col>
      <xdr:colOff>142875</xdr:colOff>
      <xdr:row>189</xdr:row>
      <xdr:rowOff>79375</xdr:rowOff>
    </xdr:to>
    <xdr:graphicFrame macro="">
      <xdr:nvGraphicFramePr>
        <xdr:cNvPr id="8" name="Chart 7">
          <a:extLst>
            <a:ext uri="{FF2B5EF4-FFF2-40B4-BE49-F238E27FC236}">
              <a16:creationId xmlns:a16="http://schemas.microsoft.com/office/drawing/2014/main" id="{FE46EA8B-F2E2-710F-6254-3993F19E5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3969</xdr:colOff>
      <xdr:row>205</xdr:row>
      <xdr:rowOff>128588</xdr:rowOff>
    </xdr:from>
    <xdr:to>
      <xdr:col>4</xdr:col>
      <xdr:colOff>527844</xdr:colOff>
      <xdr:row>220</xdr:row>
      <xdr:rowOff>10054</xdr:rowOff>
    </xdr:to>
    <xdr:graphicFrame macro="">
      <xdr:nvGraphicFramePr>
        <xdr:cNvPr id="9" name="Chart 8">
          <a:extLst>
            <a:ext uri="{FF2B5EF4-FFF2-40B4-BE49-F238E27FC236}">
              <a16:creationId xmlns:a16="http://schemas.microsoft.com/office/drawing/2014/main" id="{72DD14C2-D981-A8F5-940F-8399BD085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3969</xdr:colOff>
      <xdr:row>239</xdr:row>
      <xdr:rowOff>184150</xdr:rowOff>
    </xdr:from>
    <xdr:to>
      <xdr:col>4</xdr:col>
      <xdr:colOff>527844</xdr:colOff>
      <xdr:row>254</xdr:row>
      <xdr:rowOff>69850</xdr:rowOff>
    </xdr:to>
    <xdr:graphicFrame macro="">
      <xdr:nvGraphicFramePr>
        <xdr:cNvPr id="10" name="Chart 9">
          <a:extLst>
            <a:ext uri="{FF2B5EF4-FFF2-40B4-BE49-F238E27FC236}">
              <a16:creationId xmlns:a16="http://schemas.microsoft.com/office/drawing/2014/main" id="{56DCADD4-1245-2556-C374-8A1ED54ED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1393031</xdr:colOff>
      <xdr:row>178</xdr:row>
      <xdr:rowOff>88899</xdr:rowOff>
    </xdr:from>
    <xdr:to>
      <xdr:col>9</xdr:col>
      <xdr:colOff>424656</xdr:colOff>
      <xdr:row>185</xdr:row>
      <xdr:rowOff>134936</xdr:rowOff>
    </xdr:to>
    <xdr:graphicFrame macro="">
      <xdr:nvGraphicFramePr>
        <xdr:cNvPr id="13" name="Chart 12">
          <a:extLst>
            <a:ext uri="{FF2B5EF4-FFF2-40B4-BE49-F238E27FC236}">
              <a16:creationId xmlns:a16="http://schemas.microsoft.com/office/drawing/2014/main" id="{BC8AC138-F547-A9EC-0F49-DB33DB31B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2159000</xdr:colOff>
      <xdr:row>293</xdr:row>
      <xdr:rowOff>148429</xdr:rowOff>
    </xdr:from>
    <xdr:to>
      <xdr:col>7</xdr:col>
      <xdr:colOff>547687</xdr:colOff>
      <xdr:row>315</xdr:row>
      <xdr:rowOff>142875</xdr:rowOff>
    </xdr:to>
    <xdr:graphicFrame macro="">
      <xdr:nvGraphicFramePr>
        <xdr:cNvPr id="14" name="Chart 13">
          <a:extLst>
            <a:ext uri="{FF2B5EF4-FFF2-40B4-BE49-F238E27FC236}">
              <a16:creationId xmlns:a16="http://schemas.microsoft.com/office/drawing/2014/main" id="{CDA1DB47-9FC2-D34C-64E3-566371B6C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555625</xdr:colOff>
      <xdr:row>295</xdr:row>
      <xdr:rowOff>190499</xdr:rowOff>
    </xdr:from>
    <xdr:to>
      <xdr:col>4</xdr:col>
      <xdr:colOff>555625</xdr:colOff>
      <xdr:row>314</xdr:row>
      <xdr:rowOff>71437</xdr:rowOff>
    </xdr:to>
    <xdr:cxnSp macro="">
      <xdr:nvCxnSpPr>
        <xdr:cNvPr id="12" name="Straight Connector 11">
          <a:extLst>
            <a:ext uri="{FF2B5EF4-FFF2-40B4-BE49-F238E27FC236}">
              <a16:creationId xmlns:a16="http://schemas.microsoft.com/office/drawing/2014/main" id="{94494F23-0425-07A0-9A6E-383328C21E54}"/>
            </a:ext>
          </a:extLst>
        </xdr:cNvPr>
        <xdr:cNvCxnSpPr/>
      </xdr:nvCxnSpPr>
      <xdr:spPr>
        <a:xfrm>
          <a:off x="5770563" y="68802249"/>
          <a:ext cx="0" cy="3500438"/>
        </a:xfrm>
        <a:prstGeom prst="line">
          <a:avLst/>
        </a:prstGeom>
        <a:ln w="9525">
          <a:solidFill>
            <a:schemeClr val="bg2">
              <a:lumMod val="75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1000134</xdr:colOff>
      <xdr:row>294</xdr:row>
      <xdr:rowOff>111125</xdr:rowOff>
    </xdr:from>
    <xdr:to>
      <xdr:col>3</xdr:col>
      <xdr:colOff>9</xdr:colOff>
      <xdr:row>294</xdr:row>
      <xdr:rowOff>174625</xdr:rowOff>
    </xdr:to>
    <xdr:sp macro="" textlink="">
      <xdr:nvSpPr>
        <xdr:cNvPr id="15" name="Rectangle 14">
          <a:extLst>
            <a:ext uri="{FF2B5EF4-FFF2-40B4-BE49-F238E27FC236}">
              <a16:creationId xmlns:a16="http://schemas.microsoft.com/office/drawing/2014/main" id="{0DBC85EA-FC25-B98E-4D53-D40B29124116}"/>
            </a:ext>
          </a:extLst>
        </xdr:cNvPr>
        <xdr:cNvSpPr/>
      </xdr:nvSpPr>
      <xdr:spPr>
        <a:xfrm>
          <a:off x="4222759" y="68532375"/>
          <a:ext cx="55563" cy="63500"/>
        </a:xfrm>
        <a:prstGeom prst="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392904</xdr:colOff>
      <xdr:row>334</xdr:row>
      <xdr:rowOff>7938</xdr:rowOff>
    </xdr:from>
    <xdr:to>
      <xdr:col>7</xdr:col>
      <xdr:colOff>587375</xdr:colOff>
      <xdr:row>342</xdr:row>
      <xdr:rowOff>15875</xdr:rowOff>
    </xdr:to>
    <xdr:graphicFrame macro="">
      <xdr:nvGraphicFramePr>
        <xdr:cNvPr id="18" name="Chart 17">
          <a:extLst>
            <a:ext uri="{FF2B5EF4-FFF2-40B4-BE49-F238E27FC236}">
              <a16:creationId xmlns:a16="http://schemas.microsoft.com/office/drawing/2014/main" id="{0148CC55-7B5C-2B9B-A73D-F7B6116BC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152400</xdr:colOff>
      <xdr:row>402</xdr:row>
      <xdr:rowOff>38095</xdr:rowOff>
    </xdr:from>
    <xdr:to>
      <xdr:col>8</xdr:col>
      <xdr:colOff>752231</xdr:colOff>
      <xdr:row>428</xdr:row>
      <xdr:rowOff>78152</xdr:rowOff>
    </xdr:to>
    <xdr:graphicFrame macro="">
      <xdr:nvGraphicFramePr>
        <xdr:cNvPr id="19" name="Chart 18">
          <a:extLst>
            <a:ext uri="{FF2B5EF4-FFF2-40B4-BE49-F238E27FC236}">
              <a16:creationId xmlns:a16="http://schemas.microsoft.com/office/drawing/2014/main" id="{B6CC670D-F2E9-D21C-BE43-6D6A5C814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586154</xdr:colOff>
      <xdr:row>423</xdr:row>
      <xdr:rowOff>19538</xdr:rowOff>
    </xdr:from>
    <xdr:to>
      <xdr:col>5</xdr:col>
      <xdr:colOff>1230923</xdr:colOff>
      <xdr:row>424</xdr:row>
      <xdr:rowOff>39077</xdr:rowOff>
    </xdr:to>
    <xdr:sp macro="" textlink="">
      <xdr:nvSpPr>
        <xdr:cNvPr id="20" name="TextBox 19">
          <a:extLst>
            <a:ext uri="{FF2B5EF4-FFF2-40B4-BE49-F238E27FC236}">
              <a16:creationId xmlns:a16="http://schemas.microsoft.com/office/drawing/2014/main" id="{F85A17FB-3F37-64D6-1487-B6B037D419C3}"/>
            </a:ext>
          </a:extLst>
        </xdr:cNvPr>
        <xdr:cNvSpPr txBox="1"/>
      </xdr:nvSpPr>
      <xdr:spPr>
        <a:xfrm>
          <a:off x="3819769" y="96520000"/>
          <a:ext cx="3468077" cy="214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solidFill>
                <a:schemeClr val="tx1"/>
              </a:solidFill>
            </a:rPr>
            <a:t>I feel comfortable discussing GenAI use openly with colleagues.</a:t>
          </a:r>
        </a:p>
      </xdr:txBody>
    </xdr:sp>
    <xdr:clientData/>
  </xdr:twoCellAnchor>
  <xdr:twoCellAnchor>
    <xdr:from>
      <xdr:col>3</xdr:col>
      <xdr:colOff>713144</xdr:colOff>
      <xdr:row>402</xdr:row>
      <xdr:rowOff>185620</xdr:rowOff>
    </xdr:from>
    <xdr:to>
      <xdr:col>3</xdr:col>
      <xdr:colOff>768096</xdr:colOff>
      <xdr:row>403</xdr:row>
      <xdr:rowOff>53736</xdr:rowOff>
    </xdr:to>
    <xdr:sp macro="" textlink="">
      <xdr:nvSpPr>
        <xdr:cNvPr id="21" name="Rectangle 20">
          <a:extLst>
            <a:ext uri="{FF2B5EF4-FFF2-40B4-BE49-F238E27FC236}">
              <a16:creationId xmlns:a16="http://schemas.microsoft.com/office/drawing/2014/main" id="{D2901E90-2688-CB4F-815E-F2926E9F56E8}"/>
            </a:ext>
          </a:extLst>
        </xdr:cNvPr>
        <xdr:cNvSpPr/>
      </xdr:nvSpPr>
      <xdr:spPr>
        <a:xfrm>
          <a:off x="5001836" y="92583005"/>
          <a:ext cx="54952" cy="63500"/>
        </a:xfrm>
        <a:prstGeom prst="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355599</xdr:colOff>
      <xdr:row>102</xdr:row>
      <xdr:rowOff>59265</xdr:rowOff>
    </xdr:from>
    <xdr:to>
      <xdr:col>8</xdr:col>
      <xdr:colOff>440267</xdr:colOff>
      <xdr:row>120</xdr:row>
      <xdr:rowOff>25398</xdr:rowOff>
    </xdr:to>
    <xdr:graphicFrame macro="">
      <xdr:nvGraphicFramePr>
        <xdr:cNvPr id="22" name="Chart 21">
          <a:extLst>
            <a:ext uri="{FF2B5EF4-FFF2-40B4-BE49-F238E27FC236}">
              <a16:creationId xmlns:a16="http://schemas.microsoft.com/office/drawing/2014/main" id="{29BAD69B-A673-FFEE-65D5-318C14469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0.19311</cdr:x>
      <cdr:y>0.01321</cdr:y>
    </cdr:from>
    <cdr:to>
      <cdr:x>0.32615</cdr:x>
      <cdr:y>0.09476</cdr:y>
    </cdr:to>
    <cdr:sp macro="" textlink="">
      <cdr:nvSpPr>
        <cdr:cNvPr id="2" name="TextBox 1">
          <a:extLst xmlns:a="http://schemas.openxmlformats.org/drawingml/2006/main">
            <a:ext uri="{FF2B5EF4-FFF2-40B4-BE49-F238E27FC236}">
              <a16:creationId xmlns:a16="http://schemas.microsoft.com/office/drawing/2014/main" id="{A8980982-A279-CF74-1289-8F8890F3F34F}"/>
            </a:ext>
          </a:extLst>
        </cdr:cNvPr>
        <cdr:cNvSpPr txBox="1"/>
      </cdr:nvSpPr>
      <cdr:spPr>
        <a:xfrm xmlns:a="http://schemas.openxmlformats.org/drawingml/2006/main">
          <a:off x="1624227" y="55295"/>
          <a:ext cx="1119013" cy="341323"/>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r>
            <a:rPr lang="en-GB" sz="900" kern="1200"/>
            <a:t>Strongly disagree</a:t>
          </a:r>
        </a:p>
      </cdr:txBody>
    </cdr:sp>
  </cdr:relSizeAnchor>
</c:userShapes>
</file>

<file path=xl/drawings/drawing3.xml><?xml version="1.0" encoding="utf-8"?>
<c:userShapes xmlns:c="http://schemas.openxmlformats.org/drawingml/2006/chart">
  <cdr:relSizeAnchor xmlns:cdr="http://schemas.openxmlformats.org/drawingml/2006/chartDrawing">
    <cdr:from>
      <cdr:x>0.07188</cdr:x>
      <cdr:y>0.03385</cdr:y>
    </cdr:from>
    <cdr:to>
      <cdr:x>0.24736</cdr:x>
      <cdr:y>0.17351</cdr:y>
    </cdr:to>
    <cdr:sp macro="" textlink="">
      <cdr:nvSpPr>
        <cdr:cNvPr id="3" name="TextBox 1">
          <a:extLst xmlns:a="http://schemas.openxmlformats.org/drawingml/2006/main">
            <a:ext uri="{FF2B5EF4-FFF2-40B4-BE49-F238E27FC236}">
              <a16:creationId xmlns:a16="http://schemas.microsoft.com/office/drawing/2014/main" id="{A8980982-A279-CF74-1289-8F8890F3F34F}"/>
            </a:ext>
          </a:extLst>
        </cdr:cNvPr>
        <cdr:cNvSpPr txBox="1"/>
      </cdr:nvSpPr>
      <cdr:spPr>
        <a:xfrm xmlns:a="http://schemas.openxmlformats.org/drawingml/2006/main">
          <a:off x="404812" y="63499"/>
          <a:ext cx="988222" cy="261938"/>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l"/>
          <a:r>
            <a:rPr lang="en-GB" sz="900" kern="1200"/>
            <a:t>Strongly disagree</a:t>
          </a:r>
        </a:p>
      </cdr:txBody>
    </cdr:sp>
  </cdr:relSizeAnchor>
  <cdr:relSizeAnchor xmlns:cdr="http://schemas.openxmlformats.org/drawingml/2006/chartDrawing">
    <cdr:from>
      <cdr:x>0.074</cdr:x>
      <cdr:y>0.09326</cdr:y>
    </cdr:from>
    <cdr:to>
      <cdr:x>0.08386</cdr:x>
      <cdr:y>0.12953</cdr:y>
    </cdr:to>
    <cdr:sp macro="" textlink="">
      <cdr:nvSpPr>
        <cdr:cNvPr id="4" name="Rectangle 3">
          <a:extLst xmlns:a="http://schemas.openxmlformats.org/drawingml/2006/main">
            <a:ext uri="{FF2B5EF4-FFF2-40B4-BE49-F238E27FC236}">
              <a16:creationId xmlns:a16="http://schemas.microsoft.com/office/drawing/2014/main" id="{2C763F8F-A68F-B174-6D7A-B0ECB8327703}"/>
            </a:ext>
          </a:extLst>
        </cdr:cNvPr>
        <cdr:cNvSpPr/>
      </cdr:nvSpPr>
      <cdr:spPr>
        <a:xfrm xmlns:a="http://schemas.openxmlformats.org/drawingml/2006/main">
          <a:off x="416720" y="142875"/>
          <a:ext cx="55563" cy="55562"/>
        </a:xfrm>
        <a:prstGeom xmlns:a="http://schemas.openxmlformats.org/drawingml/2006/main" prst="rect">
          <a:avLst/>
        </a:prstGeom>
        <a:solidFill xmlns:a="http://schemas.openxmlformats.org/drawingml/2006/main">
          <a:srgbClr val="C00000"/>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GB" kern="1200"/>
        </a:p>
      </cdr:txBody>
    </cdr:sp>
  </cdr:relSizeAnchor>
  <cdr:relSizeAnchor xmlns:cdr="http://schemas.openxmlformats.org/drawingml/2006/chartDrawing">
    <cdr:from>
      <cdr:x>0.29387</cdr:x>
      <cdr:y>0.22852</cdr:y>
    </cdr:from>
    <cdr:to>
      <cdr:x>0.29387</cdr:x>
      <cdr:y>0.85908</cdr:y>
    </cdr:to>
    <cdr:cxnSp macro="">
      <cdr:nvCxnSpPr>
        <cdr:cNvPr id="6" name="Straight Connector 5">
          <a:extLst xmlns:a="http://schemas.openxmlformats.org/drawingml/2006/main">
            <a:ext uri="{FF2B5EF4-FFF2-40B4-BE49-F238E27FC236}">
              <a16:creationId xmlns:a16="http://schemas.microsoft.com/office/drawing/2014/main" id="{036AE3AC-7A7F-1777-241C-5EA48B501528}"/>
            </a:ext>
          </a:extLst>
        </cdr:cNvPr>
        <cdr:cNvCxnSpPr/>
      </cdr:nvCxnSpPr>
      <cdr:spPr>
        <a:xfrm xmlns:a="http://schemas.openxmlformats.org/drawingml/2006/main">
          <a:off x="1654971" y="428625"/>
          <a:ext cx="0" cy="1182687"/>
        </a:xfrm>
        <a:prstGeom xmlns:a="http://schemas.openxmlformats.org/drawingml/2006/main" prst="line">
          <a:avLst/>
        </a:prstGeom>
        <a:ln xmlns:a="http://schemas.openxmlformats.org/drawingml/2006/main" w="9525">
          <a:solidFill>
            <a:schemeClr val="tx1"/>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0.19797</cdr:x>
      <cdr:y>0.01192</cdr:y>
    </cdr:from>
    <cdr:to>
      <cdr:x>0.32244</cdr:x>
      <cdr:y>0.05934</cdr:y>
    </cdr:to>
    <cdr:sp macro="" textlink="">
      <cdr:nvSpPr>
        <cdr:cNvPr id="2" name="TextBox 1">
          <a:extLst xmlns:a="http://schemas.openxmlformats.org/drawingml/2006/main">
            <a:ext uri="{FF2B5EF4-FFF2-40B4-BE49-F238E27FC236}">
              <a16:creationId xmlns:a16="http://schemas.microsoft.com/office/drawing/2014/main" id="{A8980982-A279-CF74-1289-8F8890F3F34F}"/>
            </a:ext>
          </a:extLst>
        </cdr:cNvPr>
        <cdr:cNvSpPr txBox="1"/>
      </cdr:nvSpPr>
      <cdr:spPr>
        <a:xfrm xmlns:a="http://schemas.openxmlformats.org/drawingml/2006/main">
          <a:off x="1609899" y="61052"/>
          <a:ext cx="1012161" cy="242776"/>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r>
            <a:rPr lang="en-GB" sz="900" kern="1200"/>
            <a:t>Strongly disagree</a:t>
          </a:r>
        </a:p>
      </cdr:txBody>
    </cdr:sp>
  </cdr:relSizeAnchor>
  <cdr:relSizeAnchor xmlns:cdr="http://schemas.openxmlformats.org/drawingml/2006/chartDrawing">
    <cdr:from>
      <cdr:x>0.44738</cdr:x>
      <cdr:y>0.08796</cdr:y>
    </cdr:from>
    <cdr:to>
      <cdr:x>0.44738</cdr:x>
      <cdr:y>0.94658</cdr:y>
    </cdr:to>
    <cdr:cxnSp macro="">
      <cdr:nvCxnSpPr>
        <cdr:cNvPr id="5" name="Straight Connector 4">
          <a:extLst xmlns:a="http://schemas.openxmlformats.org/drawingml/2006/main">
            <a:ext uri="{FF2B5EF4-FFF2-40B4-BE49-F238E27FC236}">
              <a16:creationId xmlns:a16="http://schemas.microsoft.com/office/drawing/2014/main" id="{A85B4FE8-EC9C-E123-F529-88CD4B3A0585}"/>
            </a:ext>
          </a:extLst>
        </cdr:cNvPr>
        <cdr:cNvCxnSpPr/>
      </cdr:nvCxnSpPr>
      <cdr:spPr>
        <a:xfrm xmlns:a="http://schemas.openxmlformats.org/drawingml/2006/main">
          <a:off x="3638062" y="450366"/>
          <a:ext cx="0" cy="4396154"/>
        </a:xfrm>
        <a:prstGeom xmlns:a="http://schemas.openxmlformats.org/drawingml/2006/main" prst="line">
          <a:avLst/>
        </a:prstGeom>
        <a:ln xmlns:a="http://schemas.openxmlformats.org/drawingml/2006/main" w="9525">
          <a:solidFill>
            <a:schemeClr val="bg2">
              <a:lumMod val="75000"/>
            </a:schemeClr>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40D19-907B-954D-AF60-BBE6568619E6}">
  <dimension ref="A2:X400"/>
  <sheetViews>
    <sheetView tabSelected="1" zoomScale="120" zoomScaleNormal="120" workbookViewId="0">
      <pane ySplit="2" topLeftCell="A3" activePane="bottomLeft" state="frozen"/>
      <selection pane="bottomLeft" activeCell="F16" sqref="F16"/>
    </sheetView>
  </sheetViews>
  <sheetFormatPr baseColWidth="10" defaultRowHeight="15" x14ac:dyDescent="0.2"/>
  <cols>
    <col min="2" max="2" width="43" customWidth="1"/>
    <col min="3" max="3" width="13.83203125" customWidth="1"/>
    <col min="4" max="4" width="12.33203125" customWidth="1"/>
    <col min="5" max="5" width="14" customWidth="1"/>
    <col min="6" max="6" width="21.33203125" customWidth="1"/>
    <col min="7" max="7" width="26.83203125" customWidth="1"/>
    <col min="8" max="8" width="17.83203125" customWidth="1"/>
    <col min="9" max="9" width="31" customWidth="1"/>
  </cols>
  <sheetData>
    <row r="2" spans="1:7" x14ac:dyDescent="0.2">
      <c r="B2" s="5" t="s">
        <v>79</v>
      </c>
      <c r="C2" s="3">
        <v>127</v>
      </c>
    </row>
    <row r="4" spans="1:7" x14ac:dyDescent="0.2">
      <c r="B4" s="52" t="s">
        <v>0</v>
      </c>
      <c r="C4" s="52"/>
      <c r="D4" s="52"/>
      <c r="E4" s="52"/>
      <c r="F4" s="52"/>
      <c r="G4" s="52"/>
    </row>
    <row r="5" spans="1:7" x14ac:dyDescent="0.2">
      <c r="B5" s="3" t="s">
        <v>80</v>
      </c>
      <c r="C5" s="3" t="s">
        <v>81</v>
      </c>
    </row>
    <row r="6" spans="1:7" x14ac:dyDescent="0.2">
      <c r="B6" s="3" t="s">
        <v>76</v>
      </c>
      <c r="C6" s="3" t="s">
        <v>77</v>
      </c>
      <c r="D6" s="3" t="s">
        <v>78</v>
      </c>
      <c r="F6" s="3" t="s">
        <v>100</v>
      </c>
    </row>
    <row r="7" spans="1:7" ht="22" customHeight="1" x14ac:dyDescent="0.2">
      <c r="A7">
        <v>1</v>
      </c>
      <c r="B7" t="s">
        <v>20</v>
      </c>
      <c r="C7" s="4">
        <f>(D7/C2)</f>
        <v>0.12598425196850394</v>
      </c>
      <c r="D7">
        <v>16</v>
      </c>
      <c r="F7" s="1" t="s">
        <v>36</v>
      </c>
      <c r="G7" s="1" t="s">
        <v>46</v>
      </c>
    </row>
    <row r="8" spans="1:7" ht="47" customHeight="1" x14ac:dyDescent="0.2">
      <c r="A8">
        <v>2</v>
      </c>
      <c r="B8" t="s">
        <v>15</v>
      </c>
      <c r="C8" s="4">
        <f>(D8/C2)</f>
        <v>8.6614173228346455E-2</v>
      </c>
      <c r="D8">
        <v>11</v>
      </c>
      <c r="F8" s="1" t="s">
        <v>36</v>
      </c>
      <c r="G8" s="1" t="s">
        <v>66</v>
      </c>
    </row>
    <row r="9" spans="1:7" ht="17" customHeight="1" x14ac:dyDescent="0.2">
      <c r="A9">
        <v>3</v>
      </c>
      <c r="B9" s="1" t="s">
        <v>29</v>
      </c>
      <c r="C9" s="4">
        <f>(D9/C2)</f>
        <v>7.0866141732283464E-2</v>
      </c>
      <c r="D9">
        <v>9</v>
      </c>
      <c r="F9" s="1" t="s">
        <v>36</v>
      </c>
      <c r="G9" s="1" t="s">
        <v>73</v>
      </c>
    </row>
    <row r="10" spans="1:7" x14ac:dyDescent="0.2">
      <c r="A10">
        <v>4</v>
      </c>
      <c r="B10" t="s">
        <v>27</v>
      </c>
      <c r="C10" s="4">
        <f>(D10/C2)</f>
        <v>3.937007874015748E-2</v>
      </c>
      <c r="D10">
        <v>5</v>
      </c>
    </row>
    <row r="11" spans="1:7" x14ac:dyDescent="0.2">
      <c r="A11">
        <v>5</v>
      </c>
      <c r="B11" t="s">
        <v>5</v>
      </c>
      <c r="C11" s="4">
        <f>(D11/C2)</f>
        <v>0.20472440944881889</v>
      </c>
      <c r="D11">
        <v>26</v>
      </c>
    </row>
    <row r="12" spans="1:7" x14ac:dyDescent="0.2">
      <c r="A12">
        <v>6</v>
      </c>
      <c r="B12" t="s">
        <v>24</v>
      </c>
      <c r="C12" s="4">
        <f>(D12/C2)</f>
        <v>0.44881889763779526</v>
      </c>
      <c r="D12">
        <v>57</v>
      </c>
    </row>
    <row r="13" spans="1:7" x14ac:dyDescent="0.2">
      <c r="D13">
        <f>SUM(D7:D12)</f>
        <v>124</v>
      </c>
      <c r="E13" s="3" t="s">
        <v>95</v>
      </c>
    </row>
    <row r="32" spans="2:7" x14ac:dyDescent="0.2">
      <c r="B32" s="53" t="s">
        <v>1</v>
      </c>
      <c r="C32" s="53"/>
      <c r="D32" s="53"/>
      <c r="E32" s="53"/>
      <c r="F32" s="53"/>
      <c r="G32" s="53"/>
    </row>
    <row r="33" spans="2:5" x14ac:dyDescent="0.2">
      <c r="B33" s="3" t="s">
        <v>80</v>
      </c>
      <c r="C33" s="3" t="s">
        <v>81</v>
      </c>
    </row>
    <row r="34" spans="2:5" x14ac:dyDescent="0.2">
      <c r="B34" s="3" t="s">
        <v>82</v>
      </c>
      <c r="C34" s="3" t="s">
        <v>77</v>
      </c>
      <c r="D34" s="3" t="s">
        <v>78</v>
      </c>
    </row>
    <row r="35" spans="2:5" x14ac:dyDescent="0.2">
      <c r="B35" t="s">
        <v>6</v>
      </c>
      <c r="C35" s="4">
        <f>D35/C2</f>
        <v>0.60629921259842523</v>
      </c>
      <c r="D35">
        <v>77</v>
      </c>
    </row>
    <row r="36" spans="2:5" x14ac:dyDescent="0.2">
      <c r="B36" t="s">
        <v>16</v>
      </c>
      <c r="C36" s="4">
        <f>D36/C2</f>
        <v>0.37007874015748032</v>
      </c>
      <c r="D36">
        <v>47</v>
      </c>
    </row>
    <row r="37" spans="2:5" x14ac:dyDescent="0.2">
      <c r="B37" t="s">
        <v>83</v>
      </c>
      <c r="C37" s="4">
        <f>D37/C2</f>
        <v>0</v>
      </c>
      <c r="D37">
        <v>0</v>
      </c>
    </row>
    <row r="38" spans="2:5" x14ac:dyDescent="0.2">
      <c r="B38" t="s">
        <v>60</v>
      </c>
      <c r="C38" s="4">
        <f>D38/C2</f>
        <v>2.3622047244094488E-2</v>
      </c>
      <c r="D38">
        <v>3</v>
      </c>
    </row>
    <row r="39" spans="2:5" x14ac:dyDescent="0.2">
      <c r="B39" t="s">
        <v>84</v>
      </c>
      <c r="C39" s="4">
        <f>D39/C2</f>
        <v>0</v>
      </c>
      <c r="D39">
        <v>0</v>
      </c>
    </row>
    <row r="40" spans="2:5" x14ac:dyDescent="0.2">
      <c r="D40">
        <f>SUM(D35:D39)</f>
        <v>127</v>
      </c>
      <c r="E40" s="3" t="s">
        <v>95</v>
      </c>
    </row>
    <row r="59" spans="2:24" x14ac:dyDescent="0.2">
      <c r="B59" s="52" t="s">
        <v>2</v>
      </c>
      <c r="C59" s="52"/>
      <c r="D59" s="52"/>
      <c r="E59" s="52"/>
      <c r="F59" s="52"/>
      <c r="G59" s="52"/>
    </row>
    <row r="60" spans="2:24" x14ac:dyDescent="0.2">
      <c r="B60" s="3" t="s">
        <v>80</v>
      </c>
      <c r="C60" s="3" t="s">
        <v>81</v>
      </c>
    </row>
    <row r="61" spans="2:24" x14ac:dyDescent="0.2">
      <c r="B61" s="3" t="s">
        <v>85</v>
      </c>
      <c r="C61" s="3" t="s">
        <v>77</v>
      </c>
      <c r="D61" s="3" t="s">
        <v>78</v>
      </c>
      <c r="F61" s="6"/>
      <c r="G61" s="6" t="s">
        <v>85</v>
      </c>
      <c r="H61" s="6" t="s">
        <v>96</v>
      </c>
      <c r="I61" s="6" t="s">
        <v>97</v>
      </c>
    </row>
    <row r="62" spans="2:24" ht="21" x14ac:dyDescent="0.3">
      <c r="B62" s="6" t="s">
        <v>87</v>
      </c>
      <c r="C62" s="6" t="s">
        <v>97</v>
      </c>
      <c r="D62" s="6" t="s">
        <v>96</v>
      </c>
      <c r="G62" t="s">
        <v>21</v>
      </c>
      <c r="H62">
        <v>19</v>
      </c>
      <c r="I62" s="7">
        <v>0.14960000000000001</v>
      </c>
      <c r="P62" s="17"/>
      <c r="R62" s="17"/>
      <c r="T62" s="17"/>
      <c r="V62" s="17"/>
      <c r="X62" s="3"/>
    </row>
    <row r="63" spans="2:24" ht="21" x14ac:dyDescent="0.3">
      <c r="B63" t="s">
        <v>88</v>
      </c>
      <c r="C63" s="20">
        <f>_xlfn.PERCENTOF(D63,C2)</f>
        <v>0.52755905511811019</v>
      </c>
      <c r="D63" s="18">
        <v>67</v>
      </c>
      <c r="G63" t="s">
        <v>32</v>
      </c>
      <c r="H63">
        <v>15</v>
      </c>
      <c r="I63" s="7">
        <v>0.1181</v>
      </c>
      <c r="N63" s="16"/>
      <c r="P63" s="16"/>
      <c r="R63" s="16"/>
      <c r="T63" s="16"/>
      <c r="V63" s="16"/>
      <c r="X63" s="16"/>
    </row>
    <row r="64" spans="2:24" ht="21" x14ac:dyDescent="0.3">
      <c r="B64" t="s">
        <v>89</v>
      </c>
      <c r="C64" s="20">
        <f>_xlfn.PERCENTOF(D64,C2)</f>
        <v>0.27559055118110237</v>
      </c>
      <c r="D64" s="18">
        <v>35</v>
      </c>
      <c r="G64" t="s">
        <v>34</v>
      </c>
      <c r="H64">
        <v>13</v>
      </c>
      <c r="I64" s="7">
        <v>0.1024</v>
      </c>
      <c r="N64" s="16"/>
      <c r="P64" s="16"/>
      <c r="R64" s="16"/>
      <c r="T64" s="16"/>
      <c r="V64" s="16"/>
    </row>
    <row r="65" spans="2:20" ht="21" x14ac:dyDescent="0.3">
      <c r="B65" t="s">
        <v>90</v>
      </c>
      <c r="C65" s="20">
        <f>_xlfn.PERCENTOF(D65,C2)</f>
        <v>9.4488188976377951E-2</v>
      </c>
      <c r="D65" s="18">
        <v>12</v>
      </c>
      <c r="G65" t="s">
        <v>7</v>
      </c>
      <c r="H65">
        <v>10</v>
      </c>
      <c r="I65" s="7">
        <v>7.8700000000000006E-2</v>
      </c>
      <c r="N65" s="16"/>
      <c r="P65" s="16"/>
      <c r="R65" s="16"/>
      <c r="T65" s="16"/>
    </row>
    <row r="66" spans="2:20" ht="21" x14ac:dyDescent="0.3">
      <c r="B66" t="s">
        <v>91</v>
      </c>
      <c r="C66" s="20">
        <f>_xlfn.PERCENTOF(D66,C2)</f>
        <v>6.2992125984251968E-2</v>
      </c>
      <c r="D66" s="18">
        <v>8</v>
      </c>
      <c r="G66" t="s">
        <v>56</v>
      </c>
      <c r="H66">
        <v>9</v>
      </c>
      <c r="I66" s="7">
        <v>7.0900000000000005E-2</v>
      </c>
      <c r="N66" s="16"/>
      <c r="R66" s="16"/>
    </row>
    <row r="67" spans="2:20" ht="21" x14ac:dyDescent="0.3">
      <c r="B67" t="s">
        <v>92</v>
      </c>
      <c r="C67" s="20">
        <f>_xlfn.PERCENTOF(D67,C2)</f>
        <v>3.1496062992125984E-2</v>
      </c>
      <c r="D67" s="18">
        <v>4</v>
      </c>
      <c r="G67" t="s">
        <v>47</v>
      </c>
      <c r="H67">
        <v>6</v>
      </c>
      <c r="I67" s="7">
        <v>4.7199999999999999E-2</v>
      </c>
      <c r="N67" s="16"/>
      <c r="R67" s="16"/>
    </row>
    <row r="68" spans="2:20" ht="21" x14ac:dyDescent="0.3">
      <c r="B68" t="s">
        <v>93</v>
      </c>
      <c r="C68" s="20">
        <f t="shared" ref="C68" si="0">_xlfn.PERCENTOF(D68,C7)</f>
        <v>0</v>
      </c>
      <c r="D68" s="18">
        <v>0</v>
      </c>
      <c r="G68" t="s">
        <v>23</v>
      </c>
      <c r="H68">
        <v>5</v>
      </c>
      <c r="I68" s="7">
        <v>3.9399999999999998E-2</v>
      </c>
      <c r="N68" s="16"/>
      <c r="R68" s="16"/>
    </row>
    <row r="69" spans="2:20" ht="21" x14ac:dyDescent="0.3">
      <c r="B69" s="6"/>
      <c r="C69" s="6"/>
      <c r="D69" s="19">
        <f>SUM(D63:D68)</f>
        <v>126</v>
      </c>
      <c r="E69" t="s">
        <v>95</v>
      </c>
      <c r="G69" t="s">
        <v>28</v>
      </c>
      <c r="H69">
        <v>5</v>
      </c>
      <c r="I69" s="7">
        <v>3.9399999999999998E-2</v>
      </c>
      <c r="N69" s="16"/>
      <c r="R69" s="16"/>
    </row>
    <row r="70" spans="2:20" ht="21" x14ac:dyDescent="0.3">
      <c r="G70" t="s">
        <v>17</v>
      </c>
      <c r="H70">
        <v>5</v>
      </c>
      <c r="I70" s="7">
        <v>3.9399999999999998E-2</v>
      </c>
      <c r="N70" s="16"/>
    </row>
    <row r="71" spans="2:20" ht="21" x14ac:dyDescent="0.3">
      <c r="G71" t="s">
        <v>30</v>
      </c>
      <c r="H71">
        <v>4</v>
      </c>
      <c r="I71" s="7">
        <v>3.15E-2</v>
      </c>
      <c r="N71" s="16"/>
    </row>
    <row r="72" spans="2:20" ht="21" x14ac:dyDescent="0.3">
      <c r="G72" t="s">
        <v>33</v>
      </c>
      <c r="H72">
        <v>3</v>
      </c>
      <c r="I72" s="7">
        <v>2.3599999999999999E-2</v>
      </c>
      <c r="N72" s="16"/>
    </row>
    <row r="73" spans="2:20" ht="21" x14ac:dyDescent="0.3">
      <c r="G73" t="s">
        <v>48</v>
      </c>
      <c r="H73">
        <v>3</v>
      </c>
      <c r="I73" s="7">
        <v>2.3599999999999999E-2</v>
      </c>
      <c r="N73" s="16"/>
    </row>
    <row r="74" spans="2:20" ht="21" x14ac:dyDescent="0.3">
      <c r="G74" t="s">
        <v>44</v>
      </c>
      <c r="H74">
        <v>3</v>
      </c>
      <c r="I74" s="7">
        <v>2.3599999999999999E-2</v>
      </c>
      <c r="N74" s="16"/>
    </row>
    <row r="75" spans="2:20" ht="21" x14ac:dyDescent="0.3">
      <c r="G75" t="s">
        <v>51</v>
      </c>
      <c r="H75">
        <v>2</v>
      </c>
      <c r="I75" s="7">
        <v>1.5699999999999999E-2</v>
      </c>
      <c r="N75" s="16"/>
    </row>
    <row r="76" spans="2:20" ht="21" x14ac:dyDescent="0.3">
      <c r="G76" t="s">
        <v>53</v>
      </c>
      <c r="H76">
        <v>2</v>
      </c>
      <c r="I76" s="7">
        <v>1.5699999999999999E-2</v>
      </c>
      <c r="N76" s="16"/>
    </row>
    <row r="77" spans="2:20" ht="21" x14ac:dyDescent="0.3">
      <c r="G77" t="s">
        <v>52</v>
      </c>
      <c r="H77">
        <v>2</v>
      </c>
      <c r="I77" s="7">
        <v>1.5699999999999999E-2</v>
      </c>
      <c r="N77" s="16"/>
    </row>
    <row r="78" spans="2:20" ht="21" x14ac:dyDescent="0.3">
      <c r="G78" t="s">
        <v>57</v>
      </c>
      <c r="H78">
        <v>2</v>
      </c>
      <c r="I78" s="7">
        <v>1.5699999999999999E-2</v>
      </c>
      <c r="N78" s="16"/>
    </row>
    <row r="79" spans="2:20" ht="21" x14ac:dyDescent="0.3">
      <c r="G79" t="s">
        <v>58</v>
      </c>
      <c r="H79">
        <v>2</v>
      </c>
      <c r="I79" s="7">
        <v>1.5699999999999999E-2</v>
      </c>
      <c r="N79" s="16"/>
    </row>
    <row r="80" spans="2:20" ht="21" x14ac:dyDescent="0.3">
      <c r="F80" s="6"/>
      <c r="G80" t="s">
        <v>49</v>
      </c>
      <c r="H80">
        <v>2</v>
      </c>
      <c r="I80" s="7">
        <v>1.5699999999999999E-2</v>
      </c>
      <c r="N80" s="16"/>
    </row>
    <row r="81" spans="2:10" x14ac:dyDescent="0.2">
      <c r="G81" t="s">
        <v>75</v>
      </c>
      <c r="H81">
        <v>1</v>
      </c>
      <c r="I81" s="7">
        <v>7.9000000000000008E-3</v>
      </c>
    </row>
    <row r="82" spans="2:10" x14ac:dyDescent="0.2">
      <c r="G82" t="s">
        <v>67</v>
      </c>
      <c r="H82">
        <v>1</v>
      </c>
      <c r="I82" s="7">
        <v>7.9000000000000008E-3</v>
      </c>
    </row>
    <row r="83" spans="2:10" x14ac:dyDescent="0.2">
      <c r="G83" t="s">
        <v>42</v>
      </c>
      <c r="H83">
        <v>1</v>
      </c>
      <c r="I83" s="7">
        <v>7.9000000000000008E-3</v>
      </c>
    </row>
    <row r="84" spans="2:10" x14ac:dyDescent="0.2">
      <c r="G84" t="s">
        <v>74</v>
      </c>
      <c r="H84">
        <v>1</v>
      </c>
      <c r="I84" s="7">
        <v>7.9000000000000008E-3</v>
      </c>
    </row>
    <row r="85" spans="2:10" x14ac:dyDescent="0.2">
      <c r="G85" t="s">
        <v>37</v>
      </c>
      <c r="H85">
        <v>1</v>
      </c>
      <c r="I85" s="7">
        <v>7.9000000000000008E-3</v>
      </c>
    </row>
    <row r="86" spans="2:10" x14ac:dyDescent="0.2">
      <c r="B86" s="6"/>
      <c r="F86" s="6"/>
      <c r="G86" t="s">
        <v>70</v>
      </c>
      <c r="H86">
        <v>1</v>
      </c>
      <c r="I86" s="7">
        <v>7.9000000000000008E-3</v>
      </c>
    </row>
    <row r="87" spans="2:10" x14ac:dyDescent="0.2">
      <c r="B87" s="6"/>
      <c r="G87" t="s">
        <v>69</v>
      </c>
      <c r="H87">
        <v>1</v>
      </c>
      <c r="I87" s="7">
        <v>7.9000000000000008E-3</v>
      </c>
    </row>
    <row r="88" spans="2:10" x14ac:dyDescent="0.2">
      <c r="B88" s="6"/>
      <c r="G88" t="s">
        <v>50</v>
      </c>
      <c r="H88">
        <v>1</v>
      </c>
      <c r="I88" s="7">
        <v>7.9000000000000008E-3</v>
      </c>
    </row>
    <row r="89" spans="2:10" x14ac:dyDescent="0.2">
      <c r="B89" s="6"/>
      <c r="G89" t="s">
        <v>68</v>
      </c>
      <c r="H89">
        <v>1</v>
      </c>
      <c r="I89" s="7">
        <v>7.9000000000000008E-3</v>
      </c>
    </row>
    <row r="90" spans="2:10" x14ac:dyDescent="0.2">
      <c r="B90" s="6"/>
      <c r="G90" t="s">
        <v>72</v>
      </c>
      <c r="H90">
        <v>1</v>
      </c>
      <c r="I90" s="7">
        <v>7.9000000000000008E-3</v>
      </c>
    </row>
    <row r="91" spans="2:10" x14ac:dyDescent="0.2">
      <c r="B91" s="6"/>
      <c r="G91" t="s">
        <v>45</v>
      </c>
      <c r="H91">
        <v>1</v>
      </c>
      <c r="I91" s="7">
        <v>7.9000000000000008E-3</v>
      </c>
    </row>
    <row r="92" spans="2:10" x14ac:dyDescent="0.2">
      <c r="G92" t="s">
        <v>55</v>
      </c>
      <c r="H92">
        <v>1</v>
      </c>
      <c r="I92" s="7">
        <v>7.9000000000000008E-3</v>
      </c>
    </row>
    <row r="93" spans="2:10" x14ac:dyDescent="0.2">
      <c r="G93" t="s">
        <v>35</v>
      </c>
      <c r="H93">
        <v>1</v>
      </c>
      <c r="I93" s="7">
        <v>7.9000000000000008E-3</v>
      </c>
    </row>
    <row r="94" spans="2:10" x14ac:dyDescent="0.2">
      <c r="G94" t="s">
        <v>62</v>
      </c>
      <c r="H94">
        <v>1</v>
      </c>
      <c r="I94" s="7">
        <v>7.9000000000000008E-3</v>
      </c>
    </row>
    <row r="95" spans="2:10" x14ac:dyDescent="0.2">
      <c r="H95">
        <v>126</v>
      </c>
      <c r="I95" s="3" t="s">
        <v>94</v>
      </c>
      <c r="J95" t="s">
        <v>99</v>
      </c>
    </row>
    <row r="96" spans="2:10" x14ac:dyDescent="0.2">
      <c r="I96" s="3"/>
    </row>
    <row r="97" spans="2:9" x14ac:dyDescent="0.2">
      <c r="B97" s="52" t="s">
        <v>3</v>
      </c>
      <c r="C97" s="52"/>
      <c r="D97" s="52"/>
      <c r="E97" s="52"/>
      <c r="F97" s="52"/>
      <c r="G97" s="52"/>
      <c r="I97" s="3"/>
    </row>
    <row r="98" spans="2:9" x14ac:dyDescent="0.2">
      <c r="B98" s="3" t="s">
        <v>80</v>
      </c>
      <c r="C98" s="3" t="s">
        <v>81</v>
      </c>
      <c r="I98" s="3"/>
    </row>
    <row r="99" spans="2:9" x14ac:dyDescent="0.2">
      <c r="B99" s="3" t="s">
        <v>193</v>
      </c>
      <c r="C99" s="3" t="s">
        <v>77</v>
      </c>
      <c r="D99" s="3" t="s">
        <v>78</v>
      </c>
      <c r="I99" s="3"/>
    </row>
    <row r="100" spans="2:9" ht="16" x14ac:dyDescent="0.25">
      <c r="B100" s="26" t="s">
        <v>194</v>
      </c>
      <c r="C100" s="4">
        <f>D100/C2</f>
        <v>0.10236220472440945</v>
      </c>
      <c r="D100" s="34">
        <v>13</v>
      </c>
      <c r="I100" s="3"/>
    </row>
    <row r="101" spans="2:9" ht="16" x14ac:dyDescent="0.25">
      <c r="B101" s="26" t="s">
        <v>195</v>
      </c>
      <c r="C101" s="4">
        <f>D101/C2</f>
        <v>6.2992125984251968E-2</v>
      </c>
      <c r="D101" s="34">
        <v>8</v>
      </c>
      <c r="I101" s="3"/>
    </row>
    <row r="102" spans="2:9" ht="16" x14ac:dyDescent="0.25">
      <c r="B102" s="26" t="s">
        <v>196</v>
      </c>
      <c r="C102" s="4">
        <f>D102/C2</f>
        <v>0.10236220472440945</v>
      </c>
      <c r="D102" s="34">
        <v>13</v>
      </c>
      <c r="I102" s="3"/>
    </row>
    <row r="103" spans="2:9" ht="16" x14ac:dyDescent="0.25">
      <c r="B103" s="26" t="s">
        <v>180</v>
      </c>
      <c r="C103" s="4">
        <f>D103/C2</f>
        <v>7.874015748031496E-2</v>
      </c>
      <c r="D103" s="34">
        <v>10</v>
      </c>
      <c r="I103" s="3"/>
    </row>
    <row r="104" spans="2:9" ht="16" x14ac:dyDescent="0.25">
      <c r="B104" s="26" t="s">
        <v>54</v>
      </c>
      <c r="C104" s="4">
        <f>D104/C2</f>
        <v>0.14173228346456693</v>
      </c>
      <c r="D104" s="34">
        <v>18</v>
      </c>
      <c r="I104" s="3"/>
    </row>
    <row r="105" spans="2:9" ht="16" x14ac:dyDescent="0.25">
      <c r="B105" s="26" t="s">
        <v>71</v>
      </c>
      <c r="C105" s="4">
        <f>D105/C2</f>
        <v>0.2125984251968504</v>
      </c>
      <c r="D105" s="34">
        <v>27</v>
      </c>
      <c r="I105" s="3"/>
    </row>
    <row r="106" spans="2:9" ht="16" x14ac:dyDescent="0.25">
      <c r="B106" s="26" t="s">
        <v>198</v>
      </c>
      <c r="C106" s="4">
        <f>D106/C2</f>
        <v>2.3622047244094488E-2</v>
      </c>
      <c r="D106" s="34">
        <v>3</v>
      </c>
      <c r="I106" s="3"/>
    </row>
    <row r="107" spans="2:9" ht="16" x14ac:dyDescent="0.25">
      <c r="B107" s="26" t="s">
        <v>199</v>
      </c>
      <c r="C107" s="4">
        <f>D107/C2</f>
        <v>0.11023622047244094</v>
      </c>
      <c r="D107" s="34">
        <v>14</v>
      </c>
      <c r="I107" s="3"/>
    </row>
    <row r="108" spans="2:9" ht="16" x14ac:dyDescent="0.25">
      <c r="B108" s="26" t="s">
        <v>200</v>
      </c>
      <c r="C108" s="4">
        <f>D108/C2</f>
        <v>5.5118110236220472E-2</v>
      </c>
      <c r="D108" s="34">
        <v>7</v>
      </c>
      <c r="I108" s="3"/>
    </row>
    <row r="109" spans="2:9" ht="16" x14ac:dyDescent="0.25">
      <c r="B109" s="26" t="s">
        <v>61</v>
      </c>
      <c r="C109" s="4">
        <f>D109/C2</f>
        <v>0.12598425196850394</v>
      </c>
      <c r="D109" s="34">
        <v>16</v>
      </c>
      <c r="I109" s="3"/>
    </row>
    <row r="110" spans="2:9" ht="16" x14ac:dyDescent="0.25">
      <c r="B110" s="26" t="s">
        <v>64</v>
      </c>
      <c r="C110" s="4">
        <f>D110/C2</f>
        <v>0.13385826771653545</v>
      </c>
      <c r="D110" s="34">
        <v>17</v>
      </c>
      <c r="I110" s="3"/>
    </row>
    <row r="111" spans="2:9" ht="15" customHeight="1" x14ac:dyDescent="0.25">
      <c r="B111" s="26" t="s">
        <v>201</v>
      </c>
      <c r="C111" s="43">
        <f>D111/C2</f>
        <v>2.3622047244094488E-2</v>
      </c>
      <c r="D111" s="34">
        <v>3</v>
      </c>
      <c r="I111" s="3"/>
    </row>
    <row r="112" spans="2:9" ht="16" x14ac:dyDescent="0.25">
      <c r="B112" s="26" t="s">
        <v>203</v>
      </c>
      <c r="C112" s="4">
        <f>D112/C2</f>
        <v>0.19685039370078741</v>
      </c>
      <c r="D112" s="26">
        <v>25</v>
      </c>
      <c r="I112" s="3"/>
    </row>
    <row r="113" spans="2:9" ht="16" x14ac:dyDescent="0.25">
      <c r="B113" s="26" t="s">
        <v>205</v>
      </c>
      <c r="C113" s="4">
        <f>D113/C2</f>
        <v>2.3622047244094488E-2</v>
      </c>
      <c r="D113" s="34">
        <v>3</v>
      </c>
      <c r="I113" s="3"/>
    </row>
    <row r="114" spans="2:9" ht="16" x14ac:dyDescent="0.25">
      <c r="B114" s="26" t="s">
        <v>206</v>
      </c>
      <c r="C114" s="4">
        <f>D114/C2</f>
        <v>1.5748031496062992E-2</v>
      </c>
      <c r="D114" s="26">
        <v>2</v>
      </c>
      <c r="I114" s="3"/>
    </row>
    <row r="115" spans="2:9" ht="16" x14ac:dyDescent="0.25">
      <c r="B115" s="37" t="s">
        <v>59</v>
      </c>
      <c r="C115" s="4">
        <f>D115/C2</f>
        <v>0.11023622047244094</v>
      </c>
      <c r="D115" s="26">
        <v>14</v>
      </c>
      <c r="I115" s="3"/>
    </row>
    <row r="116" spans="2:9" ht="16" x14ac:dyDescent="0.25">
      <c r="B116" s="37" t="s">
        <v>179</v>
      </c>
      <c r="C116" s="4">
        <f>D116/C2</f>
        <v>5.5118110236220472E-2</v>
      </c>
      <c r="D116" s="26">
        <v>7</v>
      </c>
      <c r="I116" s="3"/>
    </row>
    <row r="117" spans="2:9" ht="16" x14ac:dyDescent="0.25">
      <c r="B117" s="26" t="s">
        <v>177</v>
      </c>
      <c r="C117" s="4">
        <f>D117/C2</f>
        <v>2.3622047244094488E-2</v>
      </c>
      <c r="D117" s="26">
        <v>3</v>
      </c>
      <c r="I117" s="3"/>
    </row>
    <row r="118" spans="2:9" ht="16" x14ac:dyDescent="0.25">
      <c r="B118" s="26" t="s">
        <v>109</v>
      </c>
      <c r="C118" s="4">
        <f>D118/C2</f>
        <v>2.3622047244094488E-2</v>
      </c>
      <c r="D118" s="34">
        <v>3</v>
      </c>
      <c r="I118" s="3"/>
    </row>
    <row r="119" spans="2:9" x14ac:dyDescent="0.2">
      <c r="I119" s="3"/>
    </row>
    <row r="120" spans="2:9" x14ac:dyDescent="0.2">
      <c r="I120" s="3"/>
    </row>
    <row r="121" spans="2:9" x14ac:dyDescent="0.2">
      <c r="I121" s="3"/>
    </row>
    <row r="122" spans="2:9" x14ac:dyDescent="0.2">
      <c r="I122" s="3"/>
    </row>
    <row r="123" spans="2:9" x14ac:dyDescent="0.2">
      <c r="I123" s="3"/>
    </row>
    <row r="124" spans="2:9" x14ac:dyDescent="0.2">
      <c r="B124" s="53" t="s">
        <v>218</v>
      </c>
      <c r="C124" s="53"/>
      <c r="D124" s="53"/>
      <c r="E124" s="53"/>
      <c r="F124" s="53"/>
      <c r="G124" s="53"/>
    </row>
    <row r="125" spans="2:9" x14ac:dyDescent="0.2">
      <c r="B125" s="3" t="s">
        <v>80</v>
      </c>
      <c r="C125" s="3" t="s">
        <v>81</v>
      </c>
    </row>
    <row r="126" spans="2:9" x14ac:dyDescent="0.2">
      <c r="B126" s="3" t="s">
        <v>101</v>
      </c>
      <c r="C126" s="3" t="s">
        <v>77</v>
      </c>
      <c r="D126" s="3" t="s">
        <v>86</v>
      </c>
    </row>
    <row r="127" spans="2:9" x14ac:dyDescent="0.2">
      <c r="B127" t="s">
        <v>26</v>
      </c>
      <c r="C127" s="4">
        <f>D127/C2</f>
        <v>0.23622047244094488</v>
      </c>
      <c r="D127">
        <v>30</v>
      </c>
    </row>
    <row r="128" spans="2:9" x14ac:dyDescent="0.2">
      <c r="B128" t="s">
        <v>18</v>
      </c>
      <c r="C128" s="4">
        <f>D128/C2</f>
        <v>0.42519685039370081</v>
      </c>
      <c r="D128">
        <v>54</v>
      </c>
    </row>
    <row r="129" spans="2:7" x14ac:dyDescent="0.2">
      <c r="B129" t="s">
        <v>8</v>
      </c>
      <c r="C129" s="4">
        <f>D129/C2</f>
        <v>0.33858267716535434</v>
      </c>
      <c r="D129">
        <v>43</v>
      </c>
      <c r="F129" s="6"/>
    </row>
    <row r="130" spans="2:7" x14ac:dyDescent="0.2">
      <c r="C130" s="4"/>
      <c r="D130">
        <f>SUM(D127:D129)</f>
        <v>127</v>
      </c>
      <c r="E130" s="3" t="s">
        <v>94</v>
      </c>
      <c r="F130" s="6"/>
    </row>
    <row r="131" spans="2:7" x14ac:dyDescent="0.2">
      <c r="C131" s="4"/>
      <c r="F131" s="6"/>
    </row>
    <row r="132" spans="2:7" x14ac:dyDescent="0.2">
      <c r="C132" s="4"/>
      <c r="F132" s="6"/>
    </row>
    <row r="133" spans="2:7" x14ac:dyDescent="0.2">
      <c r="C133" s="4"/>
      <c r="F133" s="6"/>
    </row>
    <row r="134" spans="2:7" x14ac:dyDescent="0.2">
      <c r="C134" s="4"/>
      <c r="F134" s="6"/>
    </row>
    <row r="135" spans="2:7" x14ac:dyDescent="0.2">
      <c r="C135" s="4"/>
      <c r="F135" s="6"/>
    </row>
    <row r="136" spans="2:7" x14ac:dyDescent="0.2">
      <c r="C136" s="4"/>
      <c r="F136" s="6"/>
    </row>
    <row r="137" spans="2:7" x14ac:dyDescent="0.2">
      <c r="C137" s="4"/>
      <c r="F137" s="6"/>
    </row>
    <row r="138" spans="2:7" x14ac:dyDescent="0.2">
      <c r="C138" s="4"/>
      <c r="F138" s="6"/>
    </row>
    <row r="139" spans="2:7" x14ac:dyDescent="0.2">
      <c r="C139" s="4"/>
      <c r="F139" s="6"/>
    </row>
    <row r="142" spans="2:7" x14ac:dyDescent="0.2">
      <c r="B142" s="52" t="s">
        <v>219</v>
      </c>
      <c r="C142" s="52"/>
      <c r="D142" s="52"/>
      <c r="E142" s="52"/>
      <c r="F142" s="52"/>
      <c r="G142" s="52"/>
    </row>
    <row r="143" spans="2:7" x14ac:dyDescent="0.2">
      <c r="B143" s="3" t="s">
        <v>80</v>
      </c>
      <c r="C143" s="3" t="s">
        <v>81</v>
      </c>
      <c r="F143" s="6"/>
    </row>
    <row r="144" spans="2:7" x14ac:dyDescent="0.2">
      <c r="B144" s="3" t="s">
        <v>102</v>
      </c>
      <c r="C144" s="3" t="s">
        <v>77</v>
      </c>
      <c r="D144" s="3" t="s">
        <v>86</v>
      </c>
    </row>
    <row r="145" spans="2:7" ht="16" x14ac:dyDescent="0.2">
      <c r="B145" s="1" t="s">
        <v>31</v>
      </c>
      <c r="C145" s="4">
        <f>D145/C2</f>
        <v>7.874015748031496E-2</v>
      </c>
      <c r="D145">
        <v>10</v>
      </c>
    </row>
    <row r="146" spans="2:7" ht="32" x14ac:dyDescent="0.2">
      <c r="B146" s="1" t="s">
        <v>22</v>
      </c>
      <c r="C146" s="4">
        <f>D146/C2</f>
        <v>0.49606299212598426</v>
      </c>
      <c r="D146">
        <v>63</v>
      </c>
    </row>
    <row r="147" spans="2:7" ht="32" x14ac:dyDescent="0.2">
      <c r="B147" s="1" t="s">
        <v>9</v>
      </c>
      <c r="C147" s="4">
        <f>D147/C2</f>
        <v>0.42519685039370081</v>
      </c>
      <c r="D147">
        <v>54</v>
      </c>
    </row>
    <row r="148" spans="2:7" x14ac:dyDescent="0.2">
      <c r="D148">
        <f>SUM(D145:D147)</f>
        <v>127</v>
      </c>
      <c r="E148" s="3" t="s">
        <v>94</v>
      </c>
    </row>
    <row r="149" spans="2:7" x14ac:dyDescent="0.2">
      <c r="E149" s="3"/>
    </row>
    <row r="150" spans="2:7" x14ac:dyDescent="0.2">
      <c r="E150" s="3"/>
    </row>
    <row r="151" spans="2:7" x14ac:dyDescent="0.2">
      <c r="E151" s="3"/>
    </row>
    <row r="152" spans="2:7" x14ac:dyDescent="0.2">
      <c r="E152" s="3"/>
    </row>
    <row r="153" spans="2:7" x14ac:dyDescent="0.2">
      <c r="E153" s="3"/>
    </row>
    <row r="154" spans="2:7" x14ac:dyDescent="0.2">
      <c r="E154" s="3"/>
    </row>
    <row r="155" spans="2:7" x14ac:dyDescent="0.2">
      <c r="E155" s="3"/>
    </row>
    <row r="157" spans="2:7" x14ac:dyDescent="0.2">
      <c r="B157" s="53" t="s">
        <v>220</v>
      </c>
      <c r="C157" s="53"/>
      <c r="D157" s="53"/>
      <c r="E157" s="53"/>
      <c r="F157" s="53"/>
      <c r="G157" s="53"/>
    </row>
    <row r="158" spans="2:7" x14ac:dyDescent="0.2">
      <c r="B158" s="3" t="s">
        <v>80</v>
      </c>
      <c r="C158" s="3" t="s">
        <v>81</v>
      </c>
    </row>
    <row r="159" spans="2:7" x14ac:dyDescent="0.2">
      <c r="B159" s="3" t="s">
        <v>98</v>
      </c>
      <c r="C159" s="3" t="s">
        <v>77</v>
      </c>
      <c r="D159" s="3" t="s">
        <v>86</v>
      </c>
    </row>
    <row r="160" spans="2:7" x14ac:dyDescent="0.2">
      <c r="B160" t="s">
        <v>4</v>
      </c>
      <c r="C160" s="4">
        <f>D160/C2</f>
        <v>0.8110236220472441</v>
      </c>
      <c r="D160" s="10">
        <v>103</v>
      </c>
    </row>
    <row r="161" spans="2:11" x14ac:dyDescent="0.2">
      <c r="B161" t="s">
        <v>25</v>
      </c>
      <c r="C161" s="4">
        <f>D161/C2</f>
        <v>0.1889763779527559</v>
      </c>
      <c r="D161">
        <v>24</v>
      </c>
    </row>
    <row r="162" spans="2:11" x14ac:dyDescent="0.2">
      <c r="D162">
        <f>SUM(D160:D161)</f>
        <v>127</v>
      </c>
      <c r="E162" s="3" t="s">
        <v>95</v>
      </c>
    </row>
    <row r="163" spans="2:11" x14ac:dyDescent="0.2">
      <c r="E163" s="3"/>
    </row>
    <row r="164" spans="2:11" x14ac:dyDescent="0.2">
      <c r="E164" s="3"/>
    </row>
    <row r="165" spans="2:11" x14ac:dyDescent="0.2">
      <c r="E165" s="3"/>
    </row>
    <row r="166" spans="2:11" x14ac:dyDescent="0.2">
      <c r="E166" s="3"/>
    </row>
    <row r="168" spans="2:11" x14ac:dyDescent="0.2">
      <c r="B168" s="52" t="s">
        <v>221</v>
      </c>
      <c r="C168" s="52"/>
      <c r="D168" s="52"/>
      <c r="E168" s="52"/>
      <c r="F168" s="52"/>
      <c r="G168" s="52"/>
      <c r="H168" s="3"/>
    </row>
    <row r="169" spans="2:11" x14ac:dyDescent="0.2">
      <c r="B169" s="3" t="s">
        <v>80</v>
      </c>
      <c r="C169" s="3" t="s">
        <v>81</v>
      </c>
    </row>
    <row r="170" spans="2:11" x14ac:dyDescent="0.2">
      <c r="B170" s="3" t="s">
        <v>98</v>
      </c>
      <c r="C170" s="3" t="s">
        <v>77</v>
      </c>
      <c r="D170" s="3" t="s">
        <v>86</v>
      </c>
    </row>
    <row r="171" spans="2:11" x14ac:dyDescent="0.2">
      <c r="B171" t="s">
        <v>11</v>
      </c>
      <c r="C171" s="4">
        <f>D171/D160</f>
        <v>0.52427184466019416</v>
      </c>
      <c r="D171">
        <v>54</v>
      </c>
      <c r="G171" s="1"/>
      <c r="J171" s="1"/>
    </row>
    <row r="172" spans="2:11" ht="16" x14ac:dyDescent="0.2">
      <c r="B172" s="1" t="s">
        <v>10</v>
      </c>
      <c r="C172" s="4">
        <f>D172/D160</f>
        <v>0.32038834951456313</v>
      </c>
      <c r="D172">
        <v>33</v>
      </c>
    </row>
    <row r="173" spans="2:11" ht="32" x14ac:dyDescent="0.2">
      <c r="B173" t="s">
        <v>12</v>
      </c>
      <c r="C173" s="4">
        <f>D173/D160</f>
        <v>9.7087378640776698E-2</v>
      </c>
      <c r="D173">
        <v>10</v>
      </c>
      <c r="F173" t="s">
        <v>14</v>
      </c>
      <c r="G173" s="1" t="s">
        <v>13</v>
      </c>
      <c r="H173" t="s">
        <v>12</v>
      </c>
      <c r="I173" t="s">
        <v>12</v>
      </c>
      <c r="J173" s="1" t="s">
        <v>10</v>
      </c>
      <c r="K173" t="s">
        <v>11</v>
      </c>
    </row>
    <row r="174" spans="2:11" ht="16" x14ac:dyDescent="0.2">
      <c r="B174" s="1" t="s">
        <v>13</v>
      </c>
      <c r="C174" s="4">
        <f>D174/D160</f>
        <v>5.8252427184466021E-2</v>
      </c>
      <c r="D174">
        <v>6</v>
      </c>
      <c r="F174" s="8">
        <v>0</v>
      </c>
      <c r="G174" s="8">
        <v>-0.06</v>
      </c>
      <c r="H174" s="8">
        <v>-0.05</v>
      </c>
      <c r="I174" s="8">
        <v>0.05</v>
      </c>
      <c r="J174" s="8">
        <v>0.32</v>
      </c>
      <c r="K174" s="8">
        <v>0.52</v>
      </c>
    </row>
    <row r="175" spans="2:11" x14ac:dyDescent="0.2">
      <c r="B175" t="s">
        <v>14</v>
      </c>
      <c r="C175" s="4">
        <f>D175/D160</f>
        <v>0</v>
      </c>
      <c r="D175">
        <v>0</v>
      </c>
      <c r="H175" s="8"/>
    </row>
    <row r="176" spans="2:11" x14ac:dyDescent="0.2">
      <c r="D176" s="9">
        <f>SUM(D171:D175)</f>
        <v>103</v>
      </c>
      <c r="E176" s="3" t="s">
        <v>95</v>
      </c>
    </row>
    <row r="179" spans="2:8" x14ac:dyDescent="0.2">
      <c r="B179" s="6"/>
      <c r="C179" s="3"/>
      <c r="D179" s="11"/>
      <c r="E179" s="3"/>
      <c r="F179" s="11"/>
      <c r="G179" s="3"/>
      <c r="H179" s="6"/>
    </row>
    <row r="180" spans="2:8" x14ac:dyDescent="0.2">
      <c r="C180" s="4"/>
      <c r="D180" s="8"/>
      <c r="E180" s="8"/>
      <c r="F180" s="8"/>
      <c r="G180" s="8"/>
      <c r="H180" s="8"/>
    </row>
    <row r="181" spans="2:8" x14ac:dyDescent="0.2">
      <c r="F181" s="6"/>
    </row>
    <row r="192" spans="2:8" x14ac:dyDescent="0.2">
      <c r="B192" s="53" t="s">
        <v>222</v>
      </c>
      <c r="C192" s="53"/>
      <c r="D192" s="53"/>
      <c r="E192" s="53"/>
      <c r="F192" s="53"/>
      <c r="G192" s="53"/>
      <c r="H192" t="s">
        <v>119</v>
      </c>
    </row>
    <row r="193" spans="1:9" x14ac:dyDescent="0.2">
      <c r="B193" s="3" t="s">
        <v>80</v>
      </c>
      <c r="C193" s="3" t="s">
        <v>81</v>
      </c>
    </row>
    <row r="194" spans="1:9" ht="32" x14ac:dyDescent="0.2">
      <c r="B194" s="3" t="s">
        <v>103</v>
      </c>
      <c r="C194" s="3" t="s">
        <v>77</v>
      </c>
      <c r="D194" s="3" t="s">
        <v>86</v>
      </c>
      <c r="E194" s="31" t="s">
        <v>207</v>
      </c>
      <c r="F194" s="3" t="s">
        <v>208</v>
      </c>
      <c r="G194" s="3"/>
      <c r="H194" s="3"/>
      <c r="I194" s="3"/>
    </row>
    <row r="195" spans="1:9" ht="20" customHeight="1" x14ac:dyDescent="0.2">
      <c r="A195" t="s">
        <v>138</v>
      </c>
      <c r="B195" s="14" t="s">
        <v>19</v>
      </c>
      <c r="C195" s="4">
        <f>F195/C2</f>
        <v>0.2125984251968504</v>
      </c>
      <c r="D195">
        <f>27+0+0</f>
        <v>27</v>
      </c>
      <c r="F195">
        <f t="shared" ref="F195:F203" si="1">SUM(D195:E195)</f>
        <v>27</v>
      </c>
      <c r="G195" s="12"/>
      <c r="H195" s="47"/>
      <c r="I195" s="21"/>
    </row>
    <row r="196" spans="1:9" ht="16" x14ac:dyDescent="0.2">
      <c r="A196" t="s">
        <v>139</v>
      </c>
      <c r="B196" s="1" t="s">
        <v>38</v>
      </c>
      <c r="C196" s="4">
        <f>F196/C2</f>
        <v>0.37007874015748032</v>
      </c>
      <c r="D196">
        <f>46+1+0+0</f>
        <v>47</v>
      </c>
      <c r="F196">
        <f t="shared" si="1"/>
        <v>47</v>
      </c>
      <c r="G196" s="12"/>
      <c r="H196" s="12"/>
    </row>
    <row r="197" spans="1:9" ht="16" x14ac:dyDescent="0.2">
      <c r="A197" t="s">
        <v>140</v>
      </c>
      <c r="B197" s="1" t="s">
        <v>106</v>
      </c>
      <c r="C197" s="4">
        <f>F197/C2</f>
        <v>0.38582677165354329</v>
      </c>
      <c r="D197">
        <f>19+28+1+0</f>
        <v>48</v>
      </c>
      <c r="E197">
        <v>1</v>
      </c>
      <c r="F197">
        <f t="shared" si="1"/>
        <v>49</v>
      </c>
      <c r="G197" s="44"/>
      <c r="H197" s="12"/>
    </row>
    <row r="198" spans="1:9" ht="16" x14ac:dyDescent="0.2">
      <c r="A198" t="s">
        <v>141</v>
      </c>
      <c r="B198" s="1" t="s">
        <v>63</v>
      </c>
      <c r="C198" s="4">
        <f>F198/C2</f>
        <v>0.33070866141732286</v>
      </c>
      <c r="D198">
        <f>0+13+20+1</f>
        <v>34</v>
      </c>
      <c r="E198">
        <f>1+1+1+1+1+1+1+1</f>
        <v>8</v>
      </c>
      <c r="F198">
        <f t="shared" si="1"/>
        <v>42</v>
      </c>
      <c r="G198" s="45"/>
      <c r="H198" s="47"/>
    </row>
    <row r="199" spans="1:9" ht="16" x14ac:dyDescent="0.2">
      <c r="A199" t="s">
        <v>142</v>
      </c>
      <c r="B199" s="1" t="s">
        <v>107</v>
      </c>
      <c r="C199" s="4">
        <f>F199/C2</f>
        <v>0.49606299212598426</v>
      </c>
      <c r="D199">
        <v>62</v>
      </c>
      <c r="E199">
        <v>1</v>
      </c>
      <c r="F199">
        <f t="shared" si="1"/>
        <v>63</v>
      </c>
      <c r="G199" s="45"/>
      <c r="H199" s="48"/>
    </row>
    <row r="200" spans="1:9" ht="15" customHeight="1" x14ac:dyDescent="0.2">
      <c r="A200" t="s">
        <v>143</v>
      </c>
      <c r="B200" t="s">
        <v>65</v>
      </c>
      <c r="C200" s="4">
        <f>F200/C2</f>
        <v>0.39370078740157483</v>
      </c>
      <c r="D200">
        <f>3+10+8+13+12+1</f>
        <v>47</v>
      </c>
      <c r="E200">
        <f>1+1+1</f>
        <v>3</v>
      </c>
      <c r="F200">
        <f t="shared" si="1"/>
        <v>50</v>
      </c>
      <c r="G200" s="13"/>
      <c r="H200" s="12"/>
    </row>
    <row r="201" spans="1:9" ht="16" x14ac:dyDescent="0.2">
      <c r="A201" t="s">
        <v>144</v>
      </c>
      <c r="B201" s="1" t="s">
        <v>108</v>
      </c>
      <c r="C201" s="4">
        <f>F201/C2</f>
        <v>0.32283464566929132</v>
      </c>
      <c r="D201">
        <f>2+8+6+9+8+6+1</f>
        <v>40</v>
      </c>
      <c r="E201">
        <v>1</v>
      </c>
      <c r="F201">
        <f t="shared" si="1"/>
        <v>41</v>
      </c>
      <c r="G201" s="47"/>
    </row>
    <row r="202" spans="1:9" x14ac:dyDescent="0.2">
      <c r="A202" t="s">
        <v>145</v>
      </c>
      <c r="B202" t="s">
        <v>104</v>
      </c>
      <c r="C202" s="4">
        <f>F202/C2</f>
        <v>0.2125984251968504</v>
      </c>
      <c r="D202">
        <f>2+4+5+5+4+3+3+1</f>
        <v>27</v>
      </c>
      <c r="F202">
        <f t="shared" si="1"/>
        <v>27</v>
      </c>
      <c r="G202" s="48"/>
    </row>
    <row r="203" spans="1:9" ht="16" x14ac:dyDescent="0.2">
      <c r="A203" t="s">
        <v>146</v>
      </c>
      <c r="B203" s="1" t="s">
        <v>105</v>
      </c>
      <c r="C203" s="4">
        <f>F203/C2</f>
        <v>6.2992125984251968E-2</v>
      </c>
      <c r="D203">
        <f>0+1+1+1+1+1+1+1</f>
        <v>7</v>
      </c>
      <c r="E203">
        <v>1</v>
      </c>
      <c r="F203">
        <f t="shared" si="1"/>
        <v>8</v>
      </c>
      <c r="G203" s="48"/>
    </row>
    <row r="215" spans="2:9" x14ac:dyDescent="0.2">
      <c r="F215" s="12"/>
    </row>
    <row r="222" spans="2:9" x14ac:dyDescent="0.2">
      <c r="B222" s="54" t="s">
        <v>223</v>
      </c>
      <c r="C222" s="54"/>
      <c r="D222" s="54"/>
      <c r="E222" s="54"/>
      <c r="F222" s="54"/>
      <c r="G222" s="54"/>
    </row>
    <row r="223" spans="2:9" x14ac:dyDescent="0.2">
      <c r="B223" s="3" t="s">
        <v>80</v>
      </c>
      <c r="C223" s="3" t="s">
        <v>81</v>
      </c>
    </row>
    <row r="224" spans="2:9" ht="32" x14ac:dyDescent="0.2">
      <c r="B224" s="3" t="s">
        <v>103</v>
      </c>
      <c r="C224" s="3" t="s">
        <v>77</v>
      </c>
      <c r="D224" s="3" t="s">
        <v>86</v>
      </c>
      <c r="E224" s="31" t="s">
        <v>207</v>
      </c>
      <c r="F224" s="3" t="s">
        <v>208</v>
      </c>
      <c r="G224" s="3"/>
      <c r="H224" s="3"/>
      <c r="I224" s="3"/>
    </row>
    <row r="225" spans="1:9" ht="23" customHeight="1" x14ac:dyDescent="0.2">
      <c r="A225" t="s">
        <v>138</v>
      </c>
      <c r="B225" t="s">
        <v>39</v>
      </c>
      <c r="C225" s="4">
        <f>F225/C2</f>
        <v>2.3622047244094488E-2</v>
      </c>
      <c r="D225">
        <f>3</f>
        <v>3</v>
      </c>
      <c r="F225">
        <f t="shared" ref="F225:F237" si="2">D225+E225</f>
        <v>3</v>
      </c>
      <c r="I225" s="21"/>
    </row>
    <row r="226" spans="1:9" ht="32" x14ac:dyDescent="0.2">
      <c r="A226" t="s">
        <v>139</v>
      </c>
      <c r="B226" s="15" t="s">
        <v>40</v>
      </c>
      <c r="C226" s="4">
        <f>F226/C2</f>
        <v>0.77165354330708658</v>
      </c>
      <c r="D226">
        <f>96</f>
        <v>96</v>
      </c>
      <c r="E226">
        <f>1+1</f>
        <v>2</v>
      </c>
      <c r="F226">
        <f t="shared" si="2"/>
        <v>98</v>
      </c>
      <c r="G226" s="49"/>
      <c r="H226" s="48"/>
    </row>
    <row r="227" spans="1:9" x14ac:dyDescent="0.2">
      <c r="A227" t="s">
        <v>140</v>
      </c>
      <c r="B227" t="s">
        <v>110</v>
      </c>
      <c r="C227" s="4">
        <f>F227/C2</f>
        <v>0.29921259842519687</v>
      </c>
      <c r="D227">
        <f>4+34</f>
        <v>38</v>
      </c>
      <c r="F227">
        <f t="shared" si="2"/>
        <v>38</v>
      </c>
      <c r="G227" s="48"/>
      <c r="H227" s="1"/>
    </row>
    <row r="228" spans="1:9" x14ac:dyDescent="0.2">
      <c r="A228" t="s">
        <v>141</v>
      </c>
      <c r="B228" t="s">
        <v>111</v>
      </c>
      <c r="C228" s="4">
        <f>F228/C2</f>
        <v>0.29133858267716534</v>
      </c>
      <c r="D228">
        <f>3+17+17</f>
        <v>37</v>
      </c>
      <c r="F228">
        <f t="shared" si="2"/>
        <v>37</v>
      </c>
      <c r="G228" s="46"/>
      <c r="H228" s="1"/>
    </row>
    <row r="229" spans="1:9" x14ac:dyDescent="0.2">
      <c r="A229" t="s">
        <v>142</v>
      </c>
      <c r="B229" t="s">
        <v>43</v>
      </c>
      <c r="C229" s="4">
        <f>F229/C2</f>
        <v>0.44881889763779526</v>
      </c>
      <c r="D229">
        <f>5+19+21+12</f>
        <v>57</v>
      </c>
      <c r="F229">
        <f t="shared" si="2"/>
        <v>57</v>
      </c>
      <c r="G229" s="48"/>
      <c r="H229" s="50"/>
    </row>
    <row r="230" spans="1:9" x14ac:dyDescent="0.2">
      <c r="A230" t="s">
        <v>143</v>
      </c>
      <c r="B230" t="s">
        <v>41</v>
      </c>
      <c r="C230" s="4">
        <f>F230/C2</f>
        <v>0.31496062992125984</v>
      </c>
      <c r="D230">
        <f>5+10+8+10+6</f>
        <v>39</v>
      </c>
      <c r="E230">
        <v>1</v>
      </c>
      <c r="F230">
        <f t="shared" si="2"/>
        <v>40</v>
      </c>
      <c r="G230" s="48"/>
      <c r="H230" s="1"/>
    </row>
    <row r="231" spans="1:9" x14ac:dyDescent="0.2">
      <c r="A231" t="s">
        <v>144</v>
      </c>
      <c r="B231" t="s">
        <v>112</v>
      </c>
      <c r="C231" s="4">
        <f>F231/C2</f>
        <v>0.29921259842519687</v>
      </c>
      <c r="D231">
        <f>3+5+11+8+5+5</f>
        <v>37</v>
      </c>
      <c r="E231">
        <v>1</v>
      </c>
      <c r="F231">
        <f t="shared" si="2"/>
        <v>38</v>
      </c>
      <c r="G231" s="48"/>
      <c r="H231" s="1"/>
    </row>
    <row r="232" spans="1:9" x14ac:dyDescent="0.2">
      <c r="A232" t="s">
        <v>145</v>
      </c>
      <c r="B232" t="s">
        <v>113</v>
      </c>
      <c r="C232" s="4">
        <f>F232/C2</f>
        <v>0.23622047244094488</v>
      </c>
      <c r="D232">
        <f>3+3+9+9+2+4</f>
        <v>30</v>
      </c>
      <c r="F232">
        <f t="shared" si="2"/>
        <v>30</v>
      </c>
      <c r="G232" s="48"/>
      <c r="H232" s="1"/>
    </row>
    <row r="233" spans="1:9" x14ac:dyDescent="0.2">
      <c r="A233" t="s">
        <v>146</v>
      </c>
      <c r="B233" t="s">
        <v>114</v>
      </c>
      <c r="C233" s="4">
        <f>F233/C2</f>
        <v>0.23622047244094488</v>
      </c>
      <c r="D233">
        <f>1+2+6+5+6+6+1+3</f>
        <v>30</v>
      </c>
      <c r="F233">
        <f t="shared" si="2"/>
        <v>30</v>
      </c>
      <c r="G233" s="51"/>
      <c r="H233" s="48"/>
    </row>
    <row r="234" spans="1:9" x14ac:dyDescent="0.2">
      <c r="A234" t="s">
        <v>147</v>
      </c>
      <c r="B234" t="s">
        <v>115</v>
      </c>
      <c r="C234" s="4">
        <f>F234/C2</f>
        <v>0.15748031496062992</v>
      </c>
      <c r="D234">
        <f>3+1+2+4+2+5+3</f>
        <v>20</v>
      </c>
      <c r="F234">
        <f t="shared" si="2"/>
        <v>20</v>
      </c>
      <c r="G234" s="48"/>
      <c r="H234" s="1"/>
    </row>
    <row r="235" spans="1:9" x14ac:dyDescent="0.2">
      <c r="A235" t="s">
        <v>209</v>
      </c>
      <c r="B235" t="s">
        <v>116</v>
      </c>
      <c r="C235" s="4">
        <f>F235/C2</f>
        <v>0.36220472440944884</v>
      </c>
      <c r="D235">
        <f>8+5+8+4+9+4+5+3</f>
        <v>46</v>
      </c>
      <c r="F235">
        <f t="shared" si="2"/>
        <v>46</v>
      </c>
      <c r="G235" s="48"/>
      <c r="H235" s="1"/>
    </row>
    <row r="236" spans="1:9" x14ac:dyDescent="0.2">
      <c r="A236" t="s">
        <v>210</v>
      </c>
      <c r="B236" t="s">
        <v>117</v>
      </c>
      <c r="C236" s="4">
        <f>F236/C2</f>
        <v>0.46456692913385828</v>
      </c>
      <c r="D236">
        <f>2+12+6+10+6+10+5+5+3</f>
        <v>59</v>
      </c>
      <c r="F236">
        <f t="shared" si="2"/>
        <v>59</v>
      </c>
      <c r="G236" s="1"/>
      <c r="H236" s="1"/>
    </row>
    <row r="237" spans="1:9" x14ac:dyDescent="0.2">
      <c r="A237" t="s">
        <v>211</v>
      </c>
      <c r="B237" t="s">
        <v>118</v>
      </c>
      <c r="C237" s="4">
        <f>F237/C2</f>
        <v>0.12598425196850394</v>
      </c>
      <c r="D237">
        <f>1+4+1+2+1+4+3</f>
        <v>16</v>
      </c>
      <c r="F237">
        <f t="shared" si="2"/>
        <v>16</v>
      </c>
      <c r="G237" s="1"/>
      <c r="H237" s="1"/>
    </row>
    <row r="238" spans="1:9" x14ac:dyDescent="0.2">
      <c r="A238" t="s">
        <v>212</v>
      </c>
      <c r="B238" t="s">
        <v>213</v>
      </c>
      <c r="C238" s="4">
        <f>F238/C2</f>
        <v>9.4488188976377951E-2</v>
      </c>
      <c r="F238">
        <v>12</v>
      </c>
    </row>
    <row r="257" spans="1:8" x14ac:dyDescent="0.2">
      <c r="B257" s="53" t="s">
        <v>224</v>
      </c>
      <c r="C257" s="53"/>
      <c r="D257" s="53"/>
      <c r="E257" s="53"/>
      <c r="F257" s="53"/>
      <c r="G257" s="53"/>
    </row>
    <row r="259" spans="1:8" ht="32" x14ac:dyDescent="0.2">
      <c r="B259" t="s">
        <v>86</v>
      </c>
      <c r="C259" t="s">
        <v>14</v>
      </c>
      <c r="D259" s="1" t="s">
        <v>13</v>
      </c>
      <c r="E259" t="s">
        <v>12</v>
      </c>
      <c r="F259" s="1" t="s">
        <v>10</v>
      </c>
      <c r="G259" t="s">
        <v>11</v>
      </c>
      <c r="H259" s="1" t="s">
        <v>95</v>
      </c>
    </row>
    <row r="260" spans="1:8" ht="16" x14ac:dyDescent="0.2">
      <c r="A260">
        <v>1</v>
      </c>
      <c r="B260" s="22" t="s">
        <v>120</v>
      </c>
      <c r="C260" s="23">
        <v>3</v>
      </c>
      <c r="D260">
        <v>9</v>
      </c>
      <c r="E260">
        <v>19</v>
      </c>
      <c r="F260">
        <v>57</v>
      </c>
      <c r="G260">
        <v>38</v>
      </c>
      <c r="H260">
        <f t="shared" ref="H260:H266" si="3">SUM(C260:G260)</f>
        <v>126</v>
      </c>
    </row>
    <row r="261" spans="1:8" x14ac:dyDescent="0.2">
      <c r="A261">
        <v>2</v>
      </c>
      <c r="B261" s="2" t="s">
        <v>123</v>
      </c>
      <c r="C261" s="23">
        <v>9</v>
      </c>
      <c r="D261">
        <v>16</v>
      </c>
      <c r="E261">
        <v>44</v>
      </c>
      <c r="F261">
        <v>43</v>
      </c>
      <c r="G261">
        <v>14</v>
      </c>
      <c r="H261">
        <f t="shared" si="3"/>
        <v>126</v>
      </c>
    </row>
    <row r="262" spans="1:8" x14ac:dyDescent="0.2">
      <c r="A262">
        <v>3</v>
      </c>
      <c r="B262" s="2" t="s">
        <v>121</v>
      </c>
      <c r="C262">
        <v>13</v>
      </c>
      <c r="D262">
        <v>17</v>
      </c>
      <c r="E262">
        <v>57</v>
      </c>
      <c r="F262">
        <v>30</v>
      </c>
      <c r="G262">
        <v>9</v>
      </c>
      <c r="H262">
        <f t="shared" si="3"/>
        <v>126</v>
      </c>
    </row>
    <row r="263" spans="1:8" x14ac:dyDescent="0.2">
      <c r="A263">
        <v>4</v>
      </c>
      <c r="B263" s="2" t="s">
        <v>124</v>
      </c>
      <c r="C263">
        <v>20</v>
      </c>
      <c r="D263">
        <v>37</v>
      </c>
      <c r="E263">
        <v>24</v>
      </c>
      <c r="F263">
        <v>33</v>
      </c>
      <c r="G263">
        <v>10</v>
      </c>
      <c r="H263">
        <f t="shared" si="3"/>
        <v>124</v>
      </c>
    </row>
    <row r="264" spans="1:8" x14ac:dyDescent="0.2">
      <c r="A264">
        <v>5</v>
      </c>
      <c r="B264" s="2" t="s">
        <v>122</v>
      </c>
      <c r="C264">
        <v>3</v>
      </c>
      <c r="D264">
        <v>10</v>
      </c>
      <c r="E264">
        <v>28</v>
      </c>
      <c r="F264">
        <v>49</v>
      </c>
      <c r="G264">
        <v>35</v>
      </c>
      <c r="H264">
        <f t="shared" si="3"/>
        <v>125</v>
      </c>
    </row>
    <row r="265" spans="1:8" x14ac:dyDescent="0.2">
      <c r="A265">
        <v>6</v>
      </c>
      <c r="B265" s="2" t="s">
        <v>125</v>
      </c>
      <c r="C265">
        <v>7</v>
      </c>
      <c r="D265">
        <v>24</v>
      </c>
      <c r="E265">
        <v>16</v>
      </c>
      <c r="F265">
        <v>55</v>
      </c>
      <c r="G265">
        <v>23</v>
      </c>
      <c r="H265">
        <f t="shared" si="3"/>
        <v>125</v>
      </c>
    </row>
    <row r="266" spans="1:8" x14ac:dyDescent="0.2">
      <c r="A266">
        <v>7</v>
      </c>
      <c r="B266" s="2" t="s">
        <v>126</v>
      </c>
      <c r="C266">
        <v>5</v>
      </c>
      <c r="D266">
        <v>21</v>
      </c>
      <c r="E266">
        <v>29</v>
      </c>
      <c r="F266">
        <v>52</v>
      </c>
      <c r="G266">
        <v>18</v>
      </c>
      <c r="H266">
        <f t="shared" si="3"/>
        <v>125</v>
      </c>
    </row>
    <row r="269" spans="1:8" ht="32" x14ac:dyDescent="0.2">
      <c r="B269" s="15" t="s">
        <v>136</v>
      </c>
      <c r="C269" t="s">
        <v>14</v>
      </c>
      <c r="D269" s="1" t="s">
        <v>13</v>
      </c>
      <c r="E269" t="s">
        <v>12</v>
      </c>
      <c r="F269" s="1" t="s">
        <v>10</v>
      </c>
      <c r="G269" t="s">
        <v>11</v>
      </c>
    </row>
    <row r="270" spans="1:8" ht="16" x14ac:dyDescent="0.2">
      <c r="A270">
        <v>1</v>
      </c>
      <c r="B270" s="22" t="s">
        <v>127</v>
      </c>
      <c r="C270" s="4">
        <f>3/C2</f>
        <v>2.3622047244094488E-2</v>
      </c>
      <c r="D270" s="4">
        <f>9/C2</f>
        <v>7.0866141732283464E-2</v>
      </c>
      <c r="E270" s="4">
        <f>19/C2</f>
        <v>0.14960629921259844</v>
      </c>
      <c r="F270" s="4">
        <f>57/C2</f>
        <v>0.44881889763779526</v>
      </c>
      <c r="G270" s="4">
        <f>38/C2</f>
        <v>0.29921259842519687</v>
      </c>
    </row>
    <row r="271" spans="1:8" x14ac:dyDescent="0.2">
      <c r="A271">
        <v>2</v>
      </c>
      <c r="B271" s="2" t="s">
        <v>128</v>
      </c>
      <c r="C271" s="4">
        <f>9/C2</f>
        <v>7.0866141732283464E-2</v>
      </c>
      <c r="D271" s="4">
        <f>16/C2</f>
        <v>0.12598425196850394</v>
      </c>
      <c r="E271" s="4">
        <f>44/C2</f>
        <v>0.34645669291338582</v>
      </c>
      <c r="F271" s="4">
        <f>43/C2</f>
        <v>0.33858267716535434</v>
      </c>
      <c r="G271" s="4">
        <f>14/C2</f>
        <v>0.11023622047244094</v>
      </c>
    </row>
    <row r="272" spans="1:8" x14ac:dyDescent="0.2">
      <c r="A272">
        <v>3</v>
      </c>
      <c r="B272" s="2" t="s">
        <v>129</v>
      </c>
      <c r="C272" s="4">
        <f>13/C2</f>
        <v>0.10236220472440945</v>
      </c>
      <c r="D272" s="4">
        <f>17/C2</f>
        <v>0.13385826771653545</v>
      </c>
      <c r="E272" s="4">
        <f>57/C2</f>
        <v>0.44881889763779526</v>
      </c>
      <c r="F272" s="4">
        <f>30/C2</f>
        <v>0.23622047244094488</v>
      </c>
      <c r="G272" s="4">
        <f>9/C2</f>
        <v>7.0866141732283464E-2</v>
      </c>
    </row>
    <row r="273" spans="1:8" x14ac:dyDescent="0.2">
      <c r="A273">
        <v>4</v>
      </c>
      <c r="B273" s="2" t="s">
        <v>130</v>
      </c>
      <c r="C273" s="4">
        <f>20/C2</f>
        <v>0.15748031496062992</v>
      </c>
      <c r="D273" s="4">
        <f>37/C2</f>
        <v>0.29133858267716534</v>
      </c>
      <c r="E273" s="4">
        <f>24/C2</f>
        <v>0.1889763779527559</v>
      </c>
      <c r="F273" s="4">
        <f>33/C2</f>
        <v>0.25984251968503935</v>
      </c>
      <c r="G273" s="4">
        <f>10/C2</f>
        <v>7.874015748031496E-2</v>
      </c>
    </row>
    <row r="274" spans="1:8" x14ac:dyDescent="0.2">
      <c r="A274">
        <v>5</v>
      </c>
      <c r="B274" s="2" t="s">
        <v>131</v>
      </c>
      <c r="C274" s="4">
        <f>3/C2</f>
        <v>2.3622047244094488E-2</v>
      </c>
      <c r="D274" s="4">
        <f>10/C2</f>
        <v>7.874015748031496E-2</v>
      </c>
      <c r="E274" s="4">
        <f>28/C2</f>
        <v>0.22047244094488189</v>
      </c>
      <c r="F274" s="4">
        <f>49/C2</f>
        <v>0.38582677165354329</v>
      </c>
      <c r="G274" s="4">
        <f>35/C2</f>
        <v>0.27559055118110237</v>
      </c>
    </row>
    <row r="275" spans="1:8" x14ac:dyDescent="0.2">
      <c r="A275">
        <v>6</v>
      </c>
      <c r="B275" s="2" t="s">
        <v>132</v>
      </c>
      <c r="C275" s="4">
        <f>7/C2</f>
        <v>5.5118110236220472E-2</v>
      </c>
      <c r="D275" s="4">
        <f>24/C2</f>
        <v>0.1889763779527559</v>
      </c>
      <c r="E275" s="4">
        <f>16/C2</f>
        <v>0.12598425196850394</v>
      </c>
      <c r="F275" s="4">
        <f>55/C2</f>
        <v>0.43307086614173229</v>
      </c>
      <c r="G275" s="4">
        <f>23/C2</f>
        <v>0.18110236220472442</v>
      </c>
    </row>
    <row r="276" spans="1:8" x14ac:dyDescent="0.2">
      <c r="A276">
        <v>7</v>
      </c>
      <c r="B276" s="2" t="s">
        <v>133</v>
      </c>
      <c r="C276" s="4">
        <f>5/C2</f>
        <v>3.937007874015748E-2</v>
      </c>
      <c r="D276" s="4">
        <f>21/C2</f>
        <v>0.16535433070866143</v>
      </c>
      <c r="E276" s="4">
        <f>29/C2</f>
        <v>0.2283464566929134</v>
      </c>
      <c r="F276" s="4">
        <f>52/C2</f>
        <v>0.40944881889763779</v>
      </c>
      <c r="G276" s="4">
        <f>18/C2</f>
        <v>0.14173228346456693</v>
      </c>
    </row>
    <row r="279" spans="1:8" x14ac:dyDescent="0.2">
      <c r="C279" t="s">
        <v>14</v>
      </c>
      <c r="D279" s="24" t="s">
        <v>13</v>
      </c>
      <c r="E279" t="s">
        <v>12</v>
      </c>
      <c r="F279" t="s">
        <v>12</v>
      </c>
      <c r="G279" s="24" t="s">
        <v>10</v>
      </c>
      <c r="H279" t="s">
        <v>11</v>
      </c>
    </row>
    <row r="280" spans="1:8" ht="16" x14ac:dyDescent="0.2">
      <c r="A280">
        <v>1</v>
      </c>
      <c r="B280" s="22" t="s">
        <v>127</v>
      </c>
      <c r="C280" s="8">
        <v>0</v>
      </c>
      <c r="D280" s="8">
        <v>0</v>
      </c>
      <c r="E280" s="8">
        <v>0</v>
      </c>
      <c r="F280" s="8">
        <v>0</v>
      </c>
      <c r="G280" s="8">
        <v>0</v>
      </c>
      <c r="H280" s="8">
        <v>0</v>
      </c>
    </row>
    <row r="281" spans="1:8" x14ac:dyDescent="0.2">
      <c r="B281" s="22"/>
      <c r="C281" s="8">
        <v>-2.3622047244094488E-2</v>
      </c>
      <c r="D281" s="8">
        <v>-7.0866141732283464E-2</v>
      </c>
      <c r="E281" s="8">
        <f>-E270/2</f>
        <v>-7.4803149606299218E-2</v>
      </c>
      <c r="F281" s="8">
        <v>7.4803149606299205E-2</v>
      </c>
      <c r="G281" s="8">
        <v>0.44881889763779526</v>
      </c>
      <c r="H281" s="8">
        <v>0.29921259842519687</v>
      </c>
    </row>
    <row r="282" spans="1:8" x14ac:dyDescent="0.2">
      <c r="A282">
        <v>2</v>
      </c>
      <c r="B282" s="2" t="s">
        <v>128</v>
      </c>
      <c r="C282" s="8">
        <v>0</v>
      </c>
      <c r="D282" s="8">
        <v>0</v>
      </c>
      <c r="E282" s="8">
        <v>0</v>
      </c>
      <c r="F282" s="8">
        <v>0</v>
      </c>
      <c r="G282" s="8">
        <v>0</v>
      </c>
      <c r="H282" s="8">
        <v>0</v>
      </c>
    </row>
    <row r="283" spans="1:8" x14ac:dyDescent="0.2">
      <c r="B283" s="2"/>
      <c r="C283" s="8">
        <v>-7.0866141732283464E-2</v>
      </c>
      <c r="D283" s="8">
        <v>-0.12598425196850394</v>
      </c>
      <c r="E283" s="8">
        <f>-E271/2</f>
        <v>-0.17322834645669291</v>
      </c>
      <c r="F283" s="8">
        <v>0.17322834645669291</v>
      </c>
      <c r="G283" s="8">
        <v>0.33858267716535434</v>
      </c>
      <c r="H283" s="8">
        <v>0.11023622047244094</v>
      </c>
    </row>
    <row r="284" spans="1:8" x14ac:dyDescent="0.2">
      <c r="A284">
        <v>3</v>
      </c>
      <c r="B284" s="2" t="s">
        <v>134</v>
      </c>
      <c r="C284" s="8">
        <v>0</v>
      </c>
      <c r="D284" s="8">
        <v>0</v>
      </c>
      <c r="E284" s="8">
        <v>0</v>
      </c>
      <c r="F284" s="8">
        <v>0</v>
      </c>
      <c r="G284" s="8">
        <v>0</v>
      </c>
      <c r="H284" s="8">
        <v>0</v>
      </c>
    </row>
    <row r="285" spans="1:8" x14ac:dyDescent="0.2">
      <c r="B285" s="2"/>
      <c r="C285" s="8">
        <v>-0.10236220472440945</v>
      </c>
      <c r="D285" s="8">
        <v>-0.13385826771653545</v>
      </c>
      <c r="E285" s="8">
        <f>-E272/2</f>
        <v>-0.22440944881889763</v>
      </c>
      <c r="F285" s="8">
        <v>0.22440944881889763</v>
      </c>
      <c r="G285" s="8">
        <v>0.23622047244094488</v>
      </c>
      <c r="H285" s="8">
        <v>7.0866141732283464E-2</v>
      </c>
    </row>
    <row r="286" spans="1:8" x14ac:dyDescent="0.2">
      <c r="A286">
        <v>4</v>
      </c>
      <c r="B286" s="2" t="s">
        <v>130</v>
      </c>
      <c r="C286" s="8">
        <v>0</v>
      </c>
      <c r="D286" s="8">
        <v>0</v>
      </c>
      <c r="E286" s="8">
        <v>0</v>
      </c>
      <c r="F286" s="8">
        <v>0</v>
      </c>
      <c r="G286" s="8">
        <v>0</v>
      </c>
      <c r="H286" s="8">
        <v>0</v>
      </c>
    </row>
    <row r="287" spans="1:8" x14ac:dyDescent="0.2">
      <c r="B287" s="2"/>
      <c r="C287" s="8">
        <v>-0.15748031496062992</v>
      </c>
      <c r="D287" s="8">
        <v>-0.29133858267716534</v>
      </c>
      <c r="E287" s="8">
        <f>-E273/2</f>
        <v>-9.4488188976377951E-2</v>
      </c>
      <c r="F287" s="8">
        <v>9.4488188976377951E-2</v>
      </c>
      <c r="G287" s="8">
        <v>0.25984251968503935</v>
      </c>
      <c r="H287" s="8">
        <v>7.874015748031496E-2</v>
      </c>
    </row>
    <row r="288" spans="1:8" x14ac:dyDescent="0.2">
      <c r="A288">
        <v>5</v>
      </c>
      <c r="B288" s="2" t="s">
        <v>135</v>
      </c>
      <c r="C288" s="8">
        <v>0</v>
      </c>
      <c r="D288" s="8">
        <v>0</v>
      </c>
      <c r="E288" s="8">
        <v>0</v>
      </c>
      <c r="F288" s="8">
        <v>0</v>
      </c>
      <c r="G288" s="8">
        <v>0</v>
      </c>
      <c r="H288" s="8">
        <v>0</v>
      </c>
    </row>
    <row r="289" spans="1:8" x14ac:dyDescent="0.2">
      <c r="B289" s="2"/>
      <c r="C289" s="8">
        <v>-2.3622047244094488E-2</v>
      </c>
      <c r="D289" s="8">
        <v>-7.874015748031496E-2</v>
      </c>
      <c r="E289" s="8">
        <f>-E274/2</f>
        <v>-0.11023622047244094</v>
      </c>
      <c r="F289" s="8">
        <v>0.11023622047244094</v>
      </c>
      <c r="G289" s="8">
        <v>0.38582677165354329</v>
      </c>
      <c r="H289" s="8">
        <v>0.27559055118110237</v>
      </c>
    </row>
    <row r="290" spans="1:8" x14ac:dyDescent="0.2">
      <c r="A290">
        <v>6</v>
      </c>
      <c r="B290" s="2" t="s">
        <v>132</v>
      </c>
      <c r="C290" s="8">
        <v>0</v>
      </c>
      <c r="D290" s="8">
        <v>0</v>
      </c>
      <c r="E290" s="8">
        <v>0</v>
      </c>
      <c r="F290" s="8">
        <v>0</v>
      </c>
      <c r="G290" s="8">
        <v>0</v>
      </c>
      <c r="H290" s="8">
        <v>0</v>
      </c>
    </row>
    <row r="291" spans="1:8" x14ac:dyDescent="0.2">
      <c r="B291" s="2"/>
      <c r="C291" s="8">
        <v>-5.5118110236220472E-2</v>
      </c>
      <c r="D291" s="8">
        <v>-0.1889763779527559</v>
      </c>
      <c r="E291" s="8">
        <f>-E275/2</f>
        <v>-6.2992125984251968E-2</v>
      </c>
      <c r="F291" s="8">
        <v>6.2992125984251968E-2</v>
      </c>
      <c r="G291" s="8">
        <v>0.43307086614173229</v>
      </c>
      <c r="H291" s="8">
        <v>0.18110236220472442</v>
      </c>
    </row>
    <row r="292" spans="1:8" x14ac:dyDescent="0.2">
      <c r="A292">
        <v>7</v>
      </c>
      <c r="B292" s="2" t="s">
        <v>133</v>
      </c>
      <c r="C292" s="8">
        <v>0</v>
      </c>
      <c r="D292" s="8">
        <v>0</v>
      </c>
      <c r="E292" s="8">
        <v>0</v>
      </c>
      <c r="F292" s="8">
        <v>0</v>
      </c>
      <c r="G292" s="8">
        <v>0</v>
      </c>
      <c r="H292" s="8">
        <v>0</v>
      </c>
    </row>
    <row r="293" spans="1:8" x14ac:dyDescent="0.2">
      <c r="C293" s="8">
        <v>-3.937007874015748E-2</v>
      </c>
      <c r="D293" s="8">
        <v>-0.16535433070866143</v>
      </c>
      <c r="E293" s="8">
        <f>-E276/2</f>
        <v>-0.1141732283464567</v>
      </c>
      <c r="F293" s="8">
        <v>0.1141732283464567</v>
      </c>
      <c r="G293" s="8">
        <v>0.40944881889763779</v>
      </c>
      <c r="H293" s="8">
        <v>0.14173228346456693</v>
      </c>
    </row>
    <row r="319" spans="2:8" x14ac:dyDescent="0.2">
      <c r="B319" s="52" t="s">
        <v>225</v>
      </c>
      <c r="C319" s="52"/>
      <c r="D319" s="52"/>
      <c r="E319" s="52"/>
      <c r="F319" s="52"/>
      <c r="G319" s="52"/>
    </row>
    <row r="320" spans="2:8" x14ac:dyDescent="0.2">
      <c r="B320" s="15"/>
      <c r="C320" s="8"/>
      <c r="D320" s="8"/>
      <c r="E320" s="8"/>
      <c r="F320" s="8"/>
      <c r="G320" s="8"/>
      <c r="H320" s="8"/>
    </row>
    <row r="321" spans="2:9" ht="32" x14ac:dyDescent="0.2">
      <c r="B321" s="15"/>
      <c r="C321" t="s">
        <v>14</v>
      </c>
      <c r="D321" s="1" t="s">
        <v>13</v>
      </c>
      <c r="E321" t="s">
        <v>12</v>
      </c>
      <c r="F321" s="1" t="s">
        <v>10</v>
      </c>
      <c r="G321" t="s">
        <v>11</v>
      </c>
      <c r="H321" s="1" t="s">
        <v>95</v>
      </c>
    </row>
    <row r="322" spans="2:9" x14ac:dyDescent="0.2">
      <c r="C322">
        <v>4</v>
      </c>
      <c r="D322">
        <v>17</v>
      </c>
      <c r="E322">
        <v>16</v>
      </c>
      <c r="F322">
        <v>56</v>
      </c>
      <c r="G322">
        <v>33</v>
      </c>
      <c r="H322">
        <v>126</v>
      </c>
    </row>
    <row r="323" spans="2:9" x14ac:dyDescent="0.2">
      <c r="C323" s="8"/>
      <c r="D323" s="8"/>
      <c r="E323" s="8"/>
      <c r="F323" s="8"/>
      <c r="G323" s="8"/>
      <c r="H323" s="8"/>
    </row>
    <row r="324" spans="2:9" ht="32" x14ac:dyDescent="0.2">
      <c r="C324" t="s">
        <v>14</v>
      </c>
      <c r="D324" s="1" t="s">
        <v>13</v>
      </c>
      <c r="E324" t="s">
        <v>12</v>
      </c>
      <c r="F324" s="1" t="s">
        <v>10</v>
      </c>
      <c r="G324" t="s">
        <v>11</v>
      </c>
      <c r="H324" s="8" t="s">
        <v>95</v>
      </c>
    </row>
    <row r="325" spans="2:9" x14ac:dyDescent="0.2">
      <c r="C325" s="4">
        <f>C322/C2</f>
        <v>3.1496062992125984E-2</v>
      </c>
      <c r="D325" s="4">
        <f>D322/C2</f>
        <v>0.13385826771653545</v>
      </c>
      <c r="E325" s="4">
        <f>E322/C2</f>
        <v>0.12598425196850394</v>
      </c>
      <c r="F325" s="4">
        <f>F322/C2</f>
        <v>0.44094488188976377</v>
      </c>
      <c r="G325" s="4">
        <f>G322/C2</f>
        <v>0.25984251968503935</v>
      </c>
      <c r="H325" s="8"/>
      <c r="I325" t="s">
        <v>137</v>
      </c>
    </row>
    <row r="326" spans="2:9" x14ac:dyDescent="0.2">
      <c r="C326" s="8"/>
      <c r="D326" s="8"/>
      <c r="E326" s="8"/>
      <c r="F326" s="8"/>
      <c r="G326" s="8"/>
      <c r="H326" s="8"/>
    </row>
    <row r="327" spans="2:9" x14ac:dyDescent="0.2">
      <c r="C327" s="8" t="s">
        <v>14</v>
      </c>
      <c r="D327" s="8" t="s">
        <v>13</v>
      </c>
      <c r="E327" s="8" t="s">
        <v>12</v>
      </c>
      <c r="F327" s="8" t="s">
        <v>12</v>
      </c>
      <c r="G327" s="8" t="s">
        <v>10</v>
      </c>
      <c r="H327" s="8" t="s">
        <v>11</v>
      </c>
    </row>
    <row r="328" spans="2:9" x14ac:dyDescent="0.2">
      <c r="C328" s="8">
        <v>-3.1496062992125998E-2</v>
      </c>
      <c r="D328" s="8">
        <v>-0.133858267716535</v>
      </c>
      <c r="E328" s="8">
        <f>-E325/2</f>
        <v>-6.2992125984251968E-2</v>
      </c>
      <c r="F328" s="8">
        <v>0.06</v>
      </c>
      <c r="G328" s="8">
        <v>0.44094488188976377</v>
      </c>
      <c r="H328" s="8">
        <v>0.25984251968503935</v>
      </c>
    </row>
    <row r="329" spans="2:9" x14ac:dyDescent="0.2">
      <c r="C329" s="8"/>
      <c r="D329" s="8"/>
      <c r="E329" s="8"/>
      <c r="F329" s="8"/>
      <c r="G329" s="8"/>
      <c r="H329" s="8"/>
    </row>
    <row r="330" spans="2:9" x14ac:dyDescent="0.2">
      <c r="C330" s="8"/>
      <c r="D330" s="8"/>
      <c r="E330" s="8"/>
      <c r="F330" s="8"/>
      <c r="G330" s="8"/>
      <c r="H330" s="8"/>
    </row>
    <row r="331" spans="2:9" x14ac:dyDescent="0.2">
      <c r="C331" s="8"/>
      <c r="D331" s="8"/>
      <c r="E331" s="8"/>
      <c r="F331" s="8"/>
      <c r="G331" s="8"/>
      <c r="H331" s="8"/>
    </row>
    <row r="332" spans="2:9" x14ac:dyDescent="0.2">
      <c r="C332" s="8"/>
      <c r="D332" s="8"/>
      <c r="E332" s="8"/>
      <c r="F332" s="8"/>
      <c r="G332" s="8"/>
      <c r="H332" s="8"/>
    </row>
    <row r="333" spans="2:9" x14ac:dyDescent="0.2">
      <c r="C333" s="8"/>
      <c r="D333" s="8"/>
      <c r="E333" s="8"/>
      <c r="F333" s="8"/>
      <c r="G333" s="8"/>
      <c r="H333" s="8"/>
    </row>
    <row r="344" spans="1:8" x14ac:dyDescent="0.2">
      <c r="B344" s="53" t="s">
        <v>226</v>
      </c>
      <c r="C344" s="53"/>
      <c r="D344" s="53"/>
      <c r="E344" s="53"/>
      <c r="F344" s="53"/>
      <c r="G344" s="53"/>
    </row>
    <row r="346" spans="1:8" ht="32" x14ac:dyDescent="0.2">
      <c r="B346" t="s">
        <v>86</v>
      </c>
      <c r="C346" t="s">
        <v>14</v>
      </c>
      <c r="D346" s="1" t="s">
        <v>13</v>
      </c>
      <c r="E346" t="s">
        <v>12</v>
      </c>
      <c r="F346" s="1" t="s">
        <v>10</v>
      </c>
      <c r="G346" t="s">
        <v>11</v>
      </c>
      <c r="H346" s="1" t="s">
        <v>95</v>
      </c>
    </row>
    <row r="347" spans="1:8" x14ac:dyDescent="0.2">
      <c r="A347" s="25" t="s">
        <v>138</v>
      </c>
      <c r="B347" s="2" t="s">
        <v>148</v>
      </c>
      <c r="C347">
        <v>24</v>
      </c>
      <c r="D347">
        <v>28</v>
      </c>
      <c r="E347">
        <v>23</v>
      </c>
      <c r="F347">
        <v>36</v>
      </c>
      <c r="G347">
        <v>12</v>
      </c>
      <c r="H347">
        <v>123</v>
      </c>
    </row>
    <row r="348" spans="1:8" ht="21" x14ac:dyDescent="0.3">
      <c r="A348" s="25" t="s">
        <v>139</v>
      </c>
      <c r="B348" s="2" t="s">
        <v>149</v>
      </c>
      <c r="C348" s="16">
        <v>28</v>
      </c>
      <c r="D348" s="16">
        <v>31</v>
      </c>
      <c r="E348" s="16">
        <v>28</v>
      </c>
      <c r="F348" s="16">
        <v>33</v>
      </c>
      <c r="G348" s="16">
        <v>3</v>
      </c>
      <c r="H348" s="16">
        <v>123</v>
      </c>
    </row>
    <row r="349" spans="1:8" x14ac:dyDescent="0.2">
      <c r="A349" s="25" t="s">
        <v>140</v>
      </c>
      <c r="B349" s="2" t="s">
        <v>150</v>
      </c>
      <c r="C349">
        <v>13</v>
      </c>
      <c r="D349">
        <v>30</v>
      </c>
      <c r="E349">
        <v>34</v>
      </c>
      <c r="F349">
        <v>29</v>
      </c>
      <c r="G349">
        <v>17</v>
      </c>
      <c r="H349">
        <v>123</v>
      </c>
    </row>
    <row r="350" spans="1:8" ht="21" x14ac:dyDescent="0.3">
      <c r="A350" s="25" t="s">
        <v>141</v>
      </c>
      <c r="B350" s="2" t="s">
        <v>151</v>
      </c>
      <c r="C350" s="16">
        <v>16</v>
      </c>
      <c r="D350" s="26">
        <v>9</v>
      </c>
      <c r="E350" s="16">
        <v>23</v>
      </c>
      <c r="F350" s="16">
        <v>43</v>
      </c>
      <c r="G350" s="16">
        <v>32</v>
      </c>
      <c r="H350" s="16">
        <v>123</v>
      </c>
    </row>
    <row r="351" spans="1:8" ht="21" x14ac:dyDescent="0.3">
      <c r="A351" s="25" t="s">
        <v>142</v>
      </c>
      <c r="B351" s="2" t="s">
        <v>152</v>
      </c>
      <c r="C351" s="16">
        <v>40</v>
      </c>
      <c r="D351" s="16">
        <v>32</v>
      </c>
      <c r="E351" s="26">
        <v>27</v>
      </c>
      <c r="F351" s="26">
        <v>16</v>
      </c>
      <c r="G351" s="26">
        <v>8</v>
      </c>
      <c r="H351">
        <v>123</v>
      </c>
    </row>
    <row r="352" spans="1:8" ht="21" x14ac:dyDescent="0.3">
      <c r="A352" s="25" t="s">
        <v>143</v>
      </c>
      <c r="B352" s="2" t="s">
        <v>153</v>
      </c>
      <c r="C352" s="16">
        <v>30</v>
      </c>
      <c r="D352" s="16">
        <v>31</v>
      </c>
      <c r="E352" s="16">
        <v>22</v>
      </c>
      <c r="F352" s="16">
        <v>24</v>
      </c>
      <c r="G352" s="16">
        <v>16</v>
      </c>
      <c r="H352" s="16">
        <v>123</v>
      </c>
    </row>
    <row r="353" spans="1:8" ht="21" x14ac:dyDescent="0.3">
      <c r="A353" s="25" t="s">
        <v>144</v>
      </c>
      <c r="B353" s="2" t="s">
        <v>154</v>
      </c>
      <c r="C353" s="16">
        <v>10</v>
      </c>
      <c r="D353" s="16">
        <v>13</v>
      </c>
      <c r="E353" s="16">
        <v>25</v>
      </c>
      <c r="F353" s="16">
        <v>48</v>
      </c>
      <c r="G353" s="16">
        <v>27</v>
      </c>
      <c r="H353" s="16">
        <v>123</v>
      </c>
    </row>
    <row r="354" spans="1:8" ht="21" x14ac:dyDescent="0.3">
      <c r="A354" s="25" t="s">
        <v>145</v>
      </c>
      <c r="B354" s="2" t="s">
        <v>155</v>
      </c>
      <c r="C354" s="16">
        <v>18</v>
      </c>
      <c r="D354" s="16">
        <v>35</v>
      </c>
      <c r="E354" s="16">
        <v>36</v>
      </c>
      <c r="F354" s="16">
        <v>22</v>
      </c>
      <c r="G354" s="16">
        <v>12</v>
      </c>
      <c r="H354" s="16">
        <v>123</v>
      </c>
    </row>
    <row r="355" spans="1:8" ht="21" x14ac:dyDescent="0.3">
      <c r="A355" s="25" t="s">
        <v>146</v>
      </c>
      <c r="B355" s="2" t="s">
        <v>156</v>
      </c>
      <c r="C355" s="16">
        <v>12</v>
      </c>
      <c r="D355" s="16">
        <v>14</v>
      </c>
      <c r="E355" s="16">
        <v>33</v>
      </c>
      <c r="F355" s="16">
        <v>42</v>
      </c>
      <c r="G355" s="16">
        <v>22</v>
      </c>
      <c r="H355" s="16">
        <v>123</v>
      </c>
    </row>
    <row r="356" spans="1:8" ht="21" x14ac:dyDescent="0.3">
      <c r="A356" s="25" t="s">
        <v>147</v>
      </c>
      <c r="B356" s="2" t="s">
        <v>157</v>
      </c>
      <c r="C356" s="16">
        <v>8</v>
      </c>
      <c r="D356" s="16">
        <v>16</v>
      </c>
      <c r="E356" s="16">
        <v>36</v>
      </c>
      <c r="F356" s="26">
        <v>32</v>
      </c>
      <c r="G356" s="16">
        <v>31</v>
      </c>
      <c r="H356" s="16">
        <v>123</v>
      </c>
    </row>
    <row r="357" spans="1:8" ht="21" x14ac:dyDescent="0.3">
      <c r="A357" s="25" t="s">
        <v>138</v>
      </c>
      <c r="B357" s="2" t="s">
        <v>158</v>
      </c>
      <c r="C357" s="16">
        <v>3</v>
      </c>
      <c r="D357" s="16">
        <v>5</v>
      </c>
      <c r="E357" s="16">
        <v>10</v>
      </c>
      <c r="F357" s="16">
        <v>45</v>
      </c>
      <c r="G357" s="26">
        <v>60</v>
      </c>
      <c r="H357" s="16">
        <v>123</v>
      </c>
    </row>
    <row r="358" spans="1:8" ht="21" x14ac:dyDescent="0.3">
      <c r="A358" s="25" t="s">
        <v>139</v>
      </c>
      <c r="B358" s="2" t="s">
        <v>159</v>
      </c>
      <c r="C358" s="16">
        <v>32</v>
      </c>
      <c r="D358" s="16">
        <v>34</v>
      </c>
      <c r="E358" s="16">
        <v>21</v>
      </c>
      <c r="F358" s="26">
        <v>23</v>
      </c>
      <c r="G358" s="16">
        <v>13</v>
      </c>
      <c r="H358" s="16">
        <v>123</v>
      </c>
    </row>
    <row r="361" spans="1:8" ht="32" x14ac:dyDescent="0.2">
      <c r="B361" t="s">
        <v>86</v>
      </c>
      <c r="C361" t="s">
        <v>14</v>
      </c>
      <c r="D361" s="1" t="s">
        <v>13</v>
      </c>
      <c r="E361" t="s">
        <v>12</v>
      </c>
      <c r="F361" s="1" t="s">
        <v>10</v>
      </c>
      <c r="G361" t="s">
        <v>11</v>
      </c>
    </row>
    <row r="362" spans="1:8" ht="16" x14ac:dyDescent="0.25">
      <c r="A362" s="25" t="s">
        <v>138</v>
      </c>
      <c r="B362" s="2" t="s">
        <v>148</v>
      </c>
      <c r="C362" s="28">
        <f>C347/127</f>
        <v>0.1889763779527559</v>
      </c>
      <c r="D362" s="28">
        <v>0.2205</v>
      </c>
      <c r="E362" s="28">
        <v>0.18110000000000001</v>
      </c>
      <c r="F362" s="28">
        <v>0.28349999999999997</v>
      </c>
      <c r="G362" s="28">
        <v>9.4500000000000001E-2</v>
      </c>
    </row>
    <row r="363" spans="1:8" ht="16" x14ac:dyDescent="0.25">
      <c r="A363" s="25" t="s">
        <v>139</v>
      </c>
      <c r="B363" s="2" t="s">
        <v>149</v>
      </c>
      <c r="C363" s="28">
        <v>0.2205</v>
      </c>
      <c r="D363" s="28">
        <v>0.24410000000000001</v>
      </c>
      <c r="E363" s="28">
        <v>0.2205</v>
      </c>
      <c r="F363" s="28">
        <v>0.25979999999999998</v>
      </c>
      <c r="G363" s="28">
        <v>2.3599999999999999E-2</v>
      </c>
    </row>
    <row r="364" spans="1:8" ht="16" x14ac:dyDescent="0.25">
      <c r="A364" s="25" t="s">
        <v>140</v>
      </c>
      <c r="B364" s="2" t="s">
        <v>150</v>
      </c>
      <c r="C364" s="28">
        <v>0.1024</v>
      </c>
      <c r="D364" s="28">
        <v>0.23619999999999999</v>
      </c>
      <c r="E364" s="28">
        <v>0.26769999999999999</v>
      </c>
      <c r="F364" s="28">
        <v>0.2283</v>
      </c>
      <c r="G364" s="28">
        <v>0.13389999999999999</v>
      </c>
    </row>
    <row r="365" spans="1:8" ht="16" x14ac:dyDescent="0.25">
      <c r="A365" s="25" t="s">
        <v>141</v>
      </c>
      <c r="B365" s="2" t="s">
        <v>151</v>
      </c>
      <c r="C365" s="28">
        <v>0.126</v>
      </c>
      <c r="D365" s="28">
        <v>7.0900000000000005E-2</v>
      </c>
      <c r="E365" s="28">
        <v>0.18110000000000001</v>
      </c>
      <c r="F365" s="28">
        <v>0.33860000000000001</v>
      </c>
      <c r="G365" s="28">
        <v>0.252</v>
      </c>
    </row>
    <row r="366" spans="1:8" ht="16" x14ac:dyDescent="0.25">
      <c r="A366" s="25" t="s">
        <v>142</v>
      </c>
      <c r="B366" s="2" t="s">
        <v>152</v>
      </c>
      <c r="C366" s="28">
        <v>0.315</v>
      </c>
      <c r="D366" s="28">
        <v>0.252</v>
      </c>
      <c r="E366" s="28">
        <v>0.21260000000000001</v>
      </c>
      <c r="F366" s="28">
        <v>0.126</v>
      </c>
      <c r="G366" s="28">
        <v>6.3E-2</v>
      </c>
    </row>
    <row r="367" spans="1:8" ht="16" x14ac:dyDescent="0.25">
      <c r="A367" s="25" t="s">
        <v>143</v>
      </c>
      <c r="B367" s="2" t="s">
        <v>153</v>
      </c>
      <c r="C367" s="28">
        <v>0.23619999999999999</v>
      </c>
      <c r="D367" s="28">
        <v>0.24410000000000001</v>
      </c>
      <c r="E367" s="28">
        <v>0.17319999999999999</v>
      </c>
      <c r="F367" s="28">
        <v>0.189</v>
      </c>
      <c r="G367" s="28">
        <v>0.126</v>
      </c>
    </row>
    <row r="368" spans="1:8" ht="16" x14ac:dyDescent="0.25">
      <c r="A368" s="25" t="s">
        <v>144</v>
      </c>
      <c r="B368" s="2" t="s">
        <v>154</v>
      </c>
      <c r="C368" s="28">
        <v>7.8700000000000006E-2</v>
      </c>
      <c r="D368" s="28">
        <v>0.1024</v>
      </c>
      <c r="E368" s="28">
        <v>0.19689999999999999</v>
      </c>
      <c r="F368" s="28">
        <v>0.378</v>
      </c>
      <c r="G368" s="28">
        <v>0.21260000000000001</v>
      </c>
    </row>
    <row r="369" spans="1:8" ht="16" x14ac:dyDescent="0.25">
      <c r="A369" s="25" t="s">
        <v>145</v>
      </c>
      <c r="B369" s="2" t="s">
        <v>155</v>
      </c>
      <c r="C369" s="28">
        <v>0.14169999999999999</v>
      </c>
      <c r="D369" s="28">
        <v>0.27560000000000001</v>
      </c>
      <c r="E369" s="28">
        <v>0.28349999999999997</v>
      </c>
      <c r="F369" s="28">
        <v>0.17319999999999999</v>
      </c>
      <c r="G369" s="28">
        <v>9.4500000000000001E-2</v>
      </c>
    </row>
    <row r="370" spans="1:8" ht="16" x14ac:dyDescent="0.25">
      <c r="A370" s="25" t="s">
        <v>146</v>
      </c>
      <c r="B370" s="2" t="s">
        <v>156</v>
      </c>
      <c r="C370" s="28">
        <v>9.4500000000000001E-2</v>
      </c>
      <c r="D370" s="28">
        <v>0.11020000000000001</v>
      </c>
      <c r="E370" s="28">
        <v>0.25979999999999998</v>
      </c>
      <c r="F370" s="28">
        <v>0.33069999999999999</v>
      </c>
      <c r="G370" s="28">
        <v>0.17319999999999999</v>
      </c>
    </row>
    <row r="371" spans="1:8" ht="16" x14ac:dyDescent="0.25">
      <c r="A371" s="25" t="s">
        <v>147</v>
      </c>
      <c r="B371" s="2" t="s">
        <v>157</v>
      </c>
      <c r="C371" s="28">
        <v>6.3E-2</v>
      </c>
      <c r="D371" s="28">
        <v>0.126</v>
      </c>
      <c r="E371" s="28">
        <v>0.28349999999999997</v>
      </c>
      <c r="F371" s="28">
        <v>0.252</v>
      </c>
      <c r="G371" s="28">
        <v>0.24410000000000001</v>
      </c>
    </row>
    <row r="372" spans="1:8" ht="16" x14ac:dyDescent="0.25">
      <c r="A372" s="25" t="s">
        <v>138</v>
      </c>
      <c r="B372" s="2" t="s">
        <v>158</v>
      </c>
      <c r="C372" s="28">
        <v>2.3599999999999999E-2</v>
      </c>
      <c r="D372" s="28">
        <v>3.9399999999999998E-2</v>
      </c>
      <c r="E372" s="28">
        <v>7.8700000000000006E-2</v>
      </c>
      <c r="F372" s="28">
        <f>F357/127</f>
        <v>0.3543307086614173</v>
      </c>
      <c r="G372" s="28">
        <v>0.47239999999999999</v>
      </c>
    </row>
    <row r="373" spans="1:8" ht="16" x14ac:dyDescent="0.25">
      <c r="A373" s="25" t="s">
        <v>139</v>
      </c>
      <c r="B373" s="2" t="s">
        <v>159</v>
      </c>
      <c r="C373" s="28">
        <v>0.252</v>
      </c>
      <c r="D373" s="28">
        <f>D358/127</f>
        <v>0.26771653543307089</v>
      </c>
      <c r="E373" s="28">
        <v>0.16539999999999999</v>
      </c>
      <c r="F373" s="28">
        <v>0.18110000000000001</v>
      </c>
      <c r="G373" s="28">
        <v>0.1024</v>
      </c>
    </row>
    <row r="376" spans="1:8" ht="32" x14ac:dyDescent="0.2">
      <c r="C376" t="s">
        <v>14</v>
      </c>
      <c r="D376" s="1" t="s">
        <v>13</v>
      </c>
      <c r="E376" t="s">
        <v>12</v>
      </c>
      <c r="F376" t="s">
        <v>12</v>
      </c>
      <c r="G376" s="1" t="s">
        <v>10</v>
      </c>
      <c r="H376" t="s">
        <v>11</v>
      </c>
    </row>
    <row r="377" spans="1:8" x14ac:dyDescent="0.2">
      <c r="B377" s="2" t="s">
        <v>160</v>
      </c>
      <c r="C377" s="8">
        <v>0</v>
      </c>
      <c r="D377" s="8">
        <v>0</v>
      </c>
      <c r="E377" s="8">
        <v>0</v>
      </c>
      <c r="F377" s="8">
        <v>0</v>
      </c>
      <c r="G377" s="8">
        <v>0</v>
      </c>
      <c r="H377" s="8">
        <v>0</v>
      </c>
    </row>
    <row r="378" spans="1:8" ht="16" x14ac:dyDescent="0.25">
      <c r="A378" s="25" t="s">
        <v>138</v>
      </c>
      <c r="C378" s="28">
        <v>-0.18897637795275599</v>
      </c>
      <c r="D378" s="28">
        <v>-0.2205</v>
      </c>
      <c r="E378" s="28">
        <v>-0.09</v>
      </c>
      <c r="F378" s="28">
        <v>0.09</v>
      </c>
      <c r="G378" s="28">
        <v>0.28349999999999997</v>
      </c>
      <c r="H378" s="28">
        <v>9.4500000000000001E-2</v>
      </c>
    </row>
    <row r="379" spans="1:8" x14ac:dyDescent="0.2">
      <c r="A379" s="25"/>
      <c r="B379" s="2" t="s">
        <v>161</v>
      </c>
      <c r="C379" s="8">
        <v>0</v>
      </c>
      <c r="D379" s="8">
        <v>0</v>
      </c>
      <c r="E379" s="8">
        <v>0</v>
      </c>
      <c r="F379" s="8">
        <v>0</v>
      </c>
      <c r="G379" s="8">
        <v>0</v>
      </c>
      <c r="H379" s="8">
        <v>0</v>
      </c>
    </row>
    <row r="380" spans="1:8" ht="16" x14ac:dyDescent="0.25">
      <c r="A380" s="25" t="s">
        <v>139</v>
      </c>
      <c r="C380" s="28">
        <v>-0.2205</v>
      </c>
      <c r="D380" s="28">
        <v>-0.24410000000000001</v>
      </c>
      <c r="E380" s="28">
        <v>-0.11</v>
      </c>
      <c r="F380" s="28">
        <v>0.11</v>
      </c>
      <c r="G380" s="28">
        <v>0.25979999999999998</v>
      </c>
      <c r="H380" s="28">
        <v>2.3599999999999999E-2</v>
      </c>
    </row>
    <row r="381" spans="1:8" x14ac:dyDescent="0.2">
      <c r="A381" s="25"/>
      <c r="B381" s="2" t="s">
        <v>162</v>
      </c>
      <c r="C381" s="8">
        <v>0</v>
      </c>
      <c r="D381" s="8">
        <v>0</v>
      </c>
      <c r="E381" s="8">
        <v>0</v>
      </c>
      <c r="F381" s="8">
        <v>0</v>
      </c>
      <c r="G381" s="8">
        <v>0</v>
      </c>
      <c r="H381" s="8">
        <v>0</v>
      </c>
    </row>
    <row r="382" spans="1:8" ht="16" x14ac:dyDescent="0.25">
      <c r="A382" s="25" t="s">
        <v>140</v>
      </c>
      <c r="C382" s="28">
        <v>-0.1024</v>
      </c>
      <c r="D382" s="28">
        <v>-0.23619999999999999</v>
      </c>
      <c r="E382" s="28">
        <v>-0.13500000000000001</v>
      </c>
      <c r="F382" s="28">
        <v>0.13500000000000001</v>
      </c>
      <c r="G382" s="28">
        <v>0.2283</v>
      </c>
      <c r="H382" s="28">
        <v>0.13389999999999999</v>
      </c>
    </row>
    <row r="383" spans="1:8" x14ac:dyDescent="0.2">
      <c r="A383" s="25"/>
      <c r="B383" s="2" t="s">
        <v>163</v>
      </c>
      <c r="C383" s="8">
        <v>0</v>
      </c>
      <c r="D383" s="8">
        <v>0</v>
      </c>
      <c r="E383" s="8">
        <v>0</v>
      </c>
      <c r="F383" s="8">
        <v>0</v>
      </c>
      <c r="G383" s="8">
        <v>0</v>
      </c>
      <c r="H383" s="8">
        <v>0</v>
      </c>
    </row>
    <row r="384" spans="1:8" ht="16" x14ac:dyDescent="0.25">
      <c r="A384" s="25" t="s">
        <v>141</v>
      </c>
      <c r="C384" s="28">
        <v>-0.126</v>
      </c>
      <c r="D384" s="28">
        <v>-7.0900000000000005E-2</v>
      </c>
      <c r="E384" s="28">
        <v>-0.09</v>
      </c>
      <c r="F384" s="28">
        <v>0.09</v>
      </c>
      <c r="G384" s="28">
        <v>0.33860000000000001</v>
      </c>
      <c r="H384" s="28">
        <v>0.252</v>
      </c>
    </row>
    <row r="385" spans="1:8" x14ac:dyDescent="0.2">
      <c r="A385" s="25"/>
      <c r="B385" s="2" t="s">
        <v>164</v>
      </c>
      <c r="C385" s="8">
        <v>0</v>
      </c>
      <c r="D385" s="8">
        <v>0</v>
      </c>
      <c r="E385" s="8">
        <v>0</v>
      </c>
      <c r="F385" s="8">
        <v>0</v>
      </c>
      <c r="G385" s="8">
        <v>0</v>
      </c>
      <c r="H385" s="8">
        <v>0</v>
      </c>
    </row>
    <row r="386" spans="1:8" ht="16" x14ac:dyDescent="0.25">
      <c r="A386" s="25" t="s">
        <v>142</v>
      </c>
      <c r="C386" s="28">
        <v>-0.315</v>
      </c>
      <c r="D386" s="28">
        <v>-0.252</v>
      </c>
      <c r="E386" s="28">
        <v>-0.105</v>
      </c>
      <c r="F386" s="28">
        <v>0.105</v>
      </c>
      <c r="G386" s="28">
        <v>0.126</v>
      </c>
      <c r="H386" s="28">
        <v>6.3E-2</v>
      </c>
    </row>
    <row r="387" spans="1:8" x14ac:dyDescent="0.2">
      <c r="A387" s="25"/>
      <c r="B387" s="2" t="s">
        <v>165</v>
      </c>
      <c r="C387" s="8">
        <v>0</v>
      </c>
      <c r="D387" s="8">
        <v>0</v>
      </c>
      <c r="E387" s="8">
        <v>0</v>
      </c>
      <c r="F387" s="8">
        <v>0</v>
      </c>
      <c r="G387" s="8">
        <v>0</v>
      </c>
      <c r="H387" s="8">
        <v>0</v>
      </c>
    </row>
    <row r="388" spans="1:8" ht="16" x14ac:dyDescent="0.25">
      <c r="A388" s="25" t="s">
        <v>143</v>
      </c>
      <c r="C388" s="28">
        <v>-0.23619999999999999</v>
      </c>
      <c r="D388" s="28">
        <v>-0.24410000000000001</v>
      </c>
      <c r="E388" s="28">
        <v>-8.5000000000000006E-2</v>
      </c>
      <c r="F388" s="28">
        <v>8.5000000000000006E-2</v>
      </c>
      <c r="G388" s="28">
        <v>0.189</v>
      </c>
      <c r="H388" s="28">
        <v>0.126</v>
      </c>
    </row>
    <row r="389" spans="1:8" x14ac:dyDescent="0.2">
      <c r="A389" s="25"/>
      <c r="B389" s="2" t="s">
        <v>166</v>
      </c>
      <c r="C389" s="8">
        <v>0</v>
      </c>
      <c r="D389" s="8">
        <v>0</v>
      </c>
      <c r="E389" s="8">
        <v>0</v>
      </c>
      <c r="F389" s="8">
        <v>0</v>
      </c>
      <c r="G389" s="8">
        <v>0</v>
      </c>
      <c r="H389" s="8">
        <v>0</v>
      </c>
    </row>
    <row r="390" spans="1:8" ht="16" x14ac:dyDescent="0.25">
      <c r="A390" s="25" t="s">
        <v>144</v>
      </c>
      <c r="C390" s="28">
        <v>-7.8700000000000006E-2</v>
      </c>
      <c r="D390" s="28">
        <v>-0.1024</v>
      </c>
      <c r="E390" s="28">
        <v>-0.1</v>
      </c>
      <c r="F390" s="28">
        <v>0.1</v>
      </c>
      <c r="G390" s="28">
        <v>0.378</v>
      </c>
      <c r="H390" s="28">
        <v>0.21260000000000001</v>
      </c>
    </row>
    <row r="391" spans="1:8" x14ac:dyDescent="0.2">
      <c r="A391" s="25"/>
      <c r="B391" s="2" t="s">
        <v>167</v>
      </c>
      <c r="C391" s="8">
        <v>0</v>
      </c>
      <c r="D391" s="8">
        <v>0</v>
      </c>
      <c r="E391" s="8">
        <v>0</v>
      </c>
      <c r="F391" s="8">
        <v>0</v>
      </c>
      <c r="G391" s="8">
        <v>0</v>
      </c>
      <c r="H391" s="8">
        <v>0</v>
      </c>
    </row>
    <row r="392" spans="1:8" ht="16" x14ac:dyDescent="0.25">
      <c r="A392" s="25" t="s">
        <v>145</v>
      </c>
      <c r="C392" s="28">
        <v>-0.14169999999999999</v>
      </c>
      <c r="D392" s="28">
        <v>-0.27560000000000001</v>
      </c>
      <c r="E392" s="28">
        <v>-0.14000000000000001</v>
      </c>
      <c r="F392" s="28">
        <v>0.14000000000000001</v>
      </c>
      <c r="G392" s="28">
        <v>0.17319999999999999</v>
      </c>
      <c r="H392" s="28">
        <v>9.4500000000000001E-2</v>
      </c>
    </row>
    <row r="393" spans="1:8" x14ac:dyDescent="0.2">
      <c r="A393" s="25"/>
      <c r="B393" s="2" t="s">
        <v>168</v>
      </c>
      <c r="C393" s="8">
        <v>0</v>
      </c>
      <c r="D393" s="8">
        <v>0</v>
      </c>
      <c r="E393" s="8">
        <v>0</v>
      </c>
      <c r="F393" s="8">
        <v>0</v>
      </c>
      <c r="G393" s="8">
        <v>0</v>
      </c>
      <c r="H393" s="8">
        <v>0</v>
      </c>
    </row>
    <row r="394" spans="1:8" ht="16" x14ac:dyDescent="0.25">
      <c r="A394" s="25" t="s">
        <v>146</v>
      </c>
      <c r="C394" s="28">
        <v>-9.4500000000000001E-2</v>
      </c>
      <c r="D394" s="28">
        <v>-0.11020000000000001</v>
      </c>
      <c r="E394" s="28">
        <v>-0.13</v>
      </c>
      <c r="F394" s="28">
        <v>0.13</v>
      </c>
      <c r="G394" s="28">
        <v>0.33069999999999999</v>
      </c>
      <c r="H394" s="28">
        <v>0.17319999999999999</v>
      </c>
    </row>
    <row r="395" spans="1:8" x14ac:dyDescent="0.2">
      <c r="A395" s="25"/>
      <c r="B395" s="2" t="s">
        <v>169</v>
      </c>
      <c r="C395" s="8">
        <v>0</v>
      </c>
      <c r="D395" s="8">
        <v>0</v>
      </c>
      <c r="E395" s="8">
        <v>0</v>
      </c>
      <c r="F395" s="8">
        <v>0</v>
      </c>
      <c r="G395" s="8">
        <v>0</v>
      </c>
      <c r="H395" s="8">
        <v>0</v>
      </c>
    </row>
    <row r="396" spans="1:8" ht="16" x14ac:dyDescent="0.25">
      <c r="A396" s="25" t="s">
        <v>147</v>
      </c>
      <c r="C396" s="28">
        <v>-6.3E-2</v>
      </c>
      <c r="D396" s="28">
        <v>-0.126</v>
      </c>
      <c r="E396" s="28">
        <v>-0.14000000000000001</v>
      </c>
      <c r="F396" s="28">
        <v>0.14000000000000001</v>
      </c>
      <c r="G396" s="28">
        <v>0.252</v>
      </c>
      <c r="H396" s="28">
        <v>0.24410000000000001</v>
      </c>
    </row>
    <row r="397" spans="1:8" x14ac:dyDescent="0.2">
      <c r="A397" s="25"/>
      <c r="B397" s="2" t="s">
        <v>170</v>
      </c>
      <c r="C397" s="8">
        <v>0</v>
      </c>
      <c r="D397" s="8">
        <v>0</v>
      </c>
      <c r="E397" s="8">
        <v>0</v>
      </c>
      <c r="F397" s="8">
        <v>0</v>
      </c>
      <c r="G397" s="8">
        <v>0</v>
      </c>
      <c r="H397" s="8">
        <v>0</v>
      </c>
    </row>
    <row r="398" spans="1:8" ht="16" x14ac:dyDescent="0.25">
      <c r="A398" s="25" t="s">
        <v>138</v>
      </c>
      <c r="C398" s="28">
        <v>-2.3599999999999999E-2</v>
      </c>
      <c r="D398" s="28">
        <v>-3.9399999999999998E-2</v>
      </c>
      <c r="E398" s="28">
        <v>-0.04</v>
      </c>
      <c r="F398" s="28">
        <v>0.04</v>
      </c>
      <c r="G398" s="28">
        <v>0.3543307086614173</v>
      </c>
      <c r="H398" s="28">
        <v>0.47239999999999999</v>
      </c>
    </row>
    <row r="399" spans="1:8" x14ac:dyDescent="0.2">
      <c r="A399" s="25"/>
      <c r="B399" s="2" t="s">
        <v>171</v>
      </c>
      <c r="C399" s="8">
        <v>0</v>
      </c>
      <c r="D399" s="8">
        <v>0</v>
      </c>
      <c r="E399" s="8">
        <v>0</v>
      </c>
      <c r="F399" s="8">
        <v>0</v>
      </c>
      <c r="G399" s="8">
        <v>0</v>
      </c>
      <c r="H399" s="8">
        <v>0</v>
      </c>
    </row>
    <row r="400" spans="1:8" ht="16" x14ac:dyDescent="0.25">
      <c r="A400" s="25" t="s">
        <v>139</v>
      </c>
      <c r="C400" s="28">
        <v>-0.252</v>
      </c>
      <c r="D400" s="28">
        <v>-0.267716535433071</v>
      </c>
      <c r="E400" s="28">
        <v>-8.5000000000000006E-2</v>
      </c>
      <c r="F400" s="28">
        <v>8.5000000000000006E-2</v>
      </c>
      <c r="G400" s="28">
        <v>0.18110000000000001</v>
      </c>
      <c r="H400" s="28">
        <v>0.1024</v>
      </c>
    </row>
  </sheetData>
  <mergeCells count="13">
    <mergeCell ref="B4:G4"/>
    <mergeCell ref="B32:G32"/>
    <mergeCell ref="B59:G59"/>
    <mergeCell ref="B124:G124"/>
    <mergeCell ref="B142:G142"/>
    <mergeCell ref="B319:G319"/>
    <mergeCell ref="B344:G344"/>
    <mergeCell ref="B97:G97"/>
    <mergeCell ref="B257:G257"/>
    <mergeCell ref="B168:G168"/>
    <mergeCell ref="B192:G192"/>
    <mergeCell ref="B222:G222"/>
    <mergeCell ref="B157:G157"/>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60B7-6D7F-3B49-BF81-C2A5F2974F3A}">
  <dimension ref="B1:G27"/>
  <sheetViews>
    <sheetView topLeftCell="A19" zoomScale="120" zoomScaleNormal="120" workbookViewId="0">
      <selection activeCell="G6" sqref="G6"/>
    </sheetView>
  </sheetViews>
  <sheetFormatPr baseColWidth="10" defaultRowHeight="15" x14ac:dyDescent="0.2"/>
  <cols>
    <col min="3" max="3" width="43.6640625" customWidth="1"/>
    <col min="4" max="4" width="64.6640625" style="15" customWidth="1"/>
    <col min="5" max="5" width="22.33203125" customWidth="1"/>
    <col min="7" max="7" width="66" customWidth="1"/>
    <col min="8" max="8" width="10.83203125" customWidth="1"/>
  </cols>
  <sheetData>
    <row r="1" spans="2:7" x14ac:dyDescent="0.2">
      <c r="D1"/>
    </row>
    <row r="4" spans="2:7" ht="17" x14ac:dyDescent="0.25">
      <c r="C4" s="27" t="s">
        <v>217</v>
      </c>
      <c r="D4" s="29" t="s">
        <v>173</v>
      </c>
      <c r="E4" s="27" t="s">
        <v>94</v>
      </c>
      <c r="G4" s="3"/>
    </row>
    <row r="5" spans="2:7" ht="32" x14ac:dyDescent="0.25">
      <c r="B5" s="56" t="s">
        <v>172</v>
      </c>
      <c r="C5" s="27" t="s">
        <v>194</v>
      </c>
      <c r="D5" s="38" t="s">
        <v>185</v>
      </c>
      <c r="E5" s="35">
        <v>13</v>
      </c>
      <c r="G5" s="32"/>
    </row>
    <row r="6" spans="2:7" ht="17" x14ac:dyDescent="0.25">
      <c r="B6" s="56"/>
      <c r="C6" s="27" t="s">
        <v>195</v>
      </c>
      <c r="D6" s="30" t="s">
        <v>181</v>
      </c>
      <c r="E6" s="35">
        <v>8</v>
      </c>
      <c r="G6" s="32"/>
    </row>
    <row r="7" spans="2:7" ht="47" x14ac:dyDescent="0.25">
      <c r="B7" s="56"/>
      <c r="C7" s="27" t="s">
        <v>196</v>
      </c>
      <c r="D7" s="38" t="s">
        <v>189</v>
      </c>
      <c r="E7" s="35">
        <v>13</v>
      </c>
      <c r="G7" s="32"/>
    </row>
    <row r="8" spans="2:7" ht="51" x14ac:dyDescent="0.25">
      <c r="B8" s="56"/>
      <c r="C8" s="27" t="s">
        <v>180</v>
      </c>
      <c r="D8" s="30" t="s">
        <v>183</v>
      </c>
      <c r="E8" s="35">
        <v>10</v>
      </c>
      <c r="G8" s="33"/>
    </row>
    <row r="9" spans="2:7" ht="68" x14ac:dyDescent="0.25">
      <c r="B9" s="56"/>
      <c r="C9" s="27" t="s">
        <v>54</v>
      </c>
      <c r="D9" s="30" t="s">
        <v>186</v>
      </c>
      <c r="E9" s="35">
        <v>18</v>
      </c>
      <c r="G9" s="32"/>
    </row>
    <row r="10" spans="2:7" ht="62" x14ac:dyDescent="0.25">
      <c r="B10" s="56"/>
      <c r="C10" s="27" t="s">
        <v>71</v>
      </c>
      <c r="D10" s="38" t="s">
        <v>214</v>
      </c>
      <c r="E10" s="35">
        <v>27</v>
      </c>
      <c r="G10" s="32"/>
    </row>
    <row r="11" spans="2:7" ht="16" x14ac:dyDescent="0.25">
      <c r="B11" s="56"/>
      <c r="C11" s="27" t="s">
        <v>197</v>
      </c>
      <c r="D11" s="39"/>
      <c r="E11" s="35">
        <v>0</v>
      </c>
      <c r="G11" s="32"/>
    </row>
    <row r="12" spans="2:7" ht="34" x14ac:dyDescent="0.25">
      <c r="B12" s="56"/>
      <c r="C12" s="27" t="s">
        <v>198</v>
      </c>
      <c r="D12" s="30" t="s">
        <v>182</v>
      </c>
      <c r="E12" s="35">
        <v>3</v>
      </c>
      <c r="G12" s="32"/>
    </row>
    <row r="13" spans="2:7" ht="51" x14ac:dyDescent="0.25">
      <c r="B13" s="56"/>
      <c r="C13" s="27" t="s">
        <v>199</v>
      </c>
      <c r="D13" s="30" t="s">
        <v>187</v>
      </c>
      <c r="E13" s="35">
        <v>14</v>
      </c>
      <c r="G13" s="32"/>
    </row>
    <row r="14" spans="2:7" ht="32" x14ac:dyDescent="0.25">
      <c r="B14" s="56"/>
      <c r="C14" s="27" t="s">
        <v>200</v>
      </c>
      <c r="D14" s="42" t="s">
        <v>215</v>
      </c>
      <c r="E14" s="35">
        <v>7</v>
      </c>
    </row>
    <row r="15" spans="2:7" ht="47" x14ac:dyDescent="0.25">
      <c r="B15" s="56"/>
      <c r="C15" s="27" t="s">
        <v>61</v>
      </c>
      <c r="D15" s="38" t="s">
        <v>190</v>
      </c>
      <c r="E15" s="35">
        <v>16</v>
      </c>
    </row>
    <row r="16" spans="2:7" ht="68" x14ac:dyDescent="0.25">
      <c r="B16" s="56"/>
      <c r="C16" s="27" t="s">
        <v>64</v>
      </c>
      <c r="D16" s="30" t="s">
        <v>188</v>
      </c>
      <c r="E16" s="35">
        <v>17</v>
      </c>
    </row>
    <row r="17" spans="2:5" ht="21" customHeight="1" x14ac:dyDescent="0.25">
      <c r="B17" s="56"/>
      <c r="C17" s="27" t="s">
        <v>201</v>
      </c>
      <c r="D17" s="55" t="s">
        <v>191</v>
      </c>
      <c r="E17" s="35">
        <v>3</v>
      </c>
    </row>
    <row r="18" spans="2:5" ht="16" x14ac:dyDescent="0.25">
      <c r="B18" s="56"/>
      <c r="C18" s="27" t="s">
        <v>202</v>
      </c>
      <c r="D18" s="40"/>
      <c r="E18" s="35">
        <v>0</v>
      </c>
    </row>
    <row r="19" spans="2:5" ht="133" customHeight="1" x14ac:dyDescent="0.25">
      <c r="B19" s="56"/>
      <c r="C19" s="27" t="s">
        <v>203</v>
      </c>
      <c r="D19" s="38" t="s">
        <v>216</v>
      </c>
      <c r="E19" s="27">
        <v>25</v>
      </c>
    </row>
    <row r="20" spans="2:5" ht="16" x14ac:dyDescent="0.25">
      <c r="B20" s="56"/>
      <c r="C20" s="27" t="s">
        <v>204</v>
      </c>
      <c r="D20" s="40"/>
      <c r="E20" s="27">
        <v>0</v>
      </c>
    </row>
    <row r="21" spans="2:5" ht="34" x14ac:dyDescent="0.25">
      <c r="B21" s="56"/>
      <c r="C21" s="27" t="s">
        <v>205</v>
      </c>
      <c r="D21" s="30" t="s">
        <v>184</v>
      </c>
      <c r="E21" s="35">
        <v>3</v>
      </c>
    </row>
    <row r="22" spans="2:5" ht="34" x14ac:dyDescent="0.25">
      <c r="B22" s="56"/>
      <c r="C22" s="27" t="s">
        <v>206</v>
      </c>
      <c r="D22" s="30" t="s">
        <v>174</v>
      </c>
      <c r="E22" s="27">
        <v>2</v>
      </c>
    </row>
    <row r="23" spans="2:5" ht="17" x14ac:dyDescent="0.25">
      <c r="C23" s="36" t="s">
        <v>59</v>
      </c>
      <c r="D23" s="41" t="s">
        <v>175</v>
      </c>
      <c r="E23" s="27">
        <v>14</v>
      </c>
    </row>
    <row r="24" spans="2:5" ht="17" x14ac:dyDescent="0.25">
      <c r="C24" s="36" t="s">
        <v>179</v>
      </c>
      <c r="D24" s="41" t="s">
        <v>178</v>
      </c>
      <c r="E24" s="27">
        <v>7</v>
      </c>
    </row>
    <row r="25" spans="2:5" ht="17" x14ac:dyDescent="0.25">
      <c r="C25" s="27" t="s">
        <v>177</v>
      </c>
      <c r="D25" s="41" t="s">
        <v>176</v>
      </c>
      <c r="E25" s="27">
        <v>3</v>
      </c>
    </row>
    <row r="26" spans="2:5" ht="17" x14ac:dyDescent="0.25">
      <c r="C26" s="27" t="s">
        <v>109</v>
      </c>
      <c r="D26" s="38" t="s">
        <v>192</v>
      </c>
      <c r="E26" s="35">
        <v>3</v>
      </c>
    </row>
    <row r="27" spans="2:5" x14ac:dyDescent="0.2">
      <c r="C27" s="3"/>
    </row>
  </sheetData>
  <mergeCells count="1">
    <mergeCell ref="B5:B22"/>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Charts</vt:lpstr>
      <vt:lpstr>SE-Areas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Iflaah Salman</cp:lastModifiedBy>
  <cp:revision/>
  <dcterms:created xsi:type="dcterms:W3CDTF">2026-07-23T15:55:38Z</dcterms:created>
  <dcterms:modified xsi:type="dcterms:W3CDTF">2026-10-21T23:37:25Z</dcterms:modified>
  <cp:category/>
  <cp:contentStatus/>
</cp:coreProperties>
</file>